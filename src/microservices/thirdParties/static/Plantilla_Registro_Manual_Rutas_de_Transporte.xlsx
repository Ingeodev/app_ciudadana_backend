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cali-mobility\cali-mobility-backend\src\microservices\thirdParties\static\"/>
    </mc:Choice>
  </mc:AlternateContent>
  <xr:revisionPtr revIDLastSave="0" documentId="13_ncr:1_{E9B0DE4E-22F4-41FC-BB7C-D38DF272A017}" xr6:coauthVersionLast="47" xr6:coauthVersionMax="47" xr10:uidLastSave="{00000000-0000-0000-0000-000000000000}"/>
  <bookViews>
    <workbookView xWindow="-60" yWindow="0" windowWidth="19185" windowHeight="17505" activeTab="1" xr2:uid="{00000000-000D-0000-FFFF-FFFF00000000}"/>
  </bookViews>
  <sheets>
    <sheet name="Municipios" sheetId="4" r:id="rId1"/>
    <sheet name="Popayan_Cali" sheetId="6" r:id="rId2"/>
  </sheets>
  <definedNames>
    <definedName name="_xlnm._FilterDatabase" localSheetId="0" hidden="1">Municipios!$A$1:$G$1124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22" i="6" l="1"/>
  <c r="A1122" i="6"/>
  <c r="C1121" i="6"/>
  <c r="A1121" i="6"/>
  <c r="C1120" i="6"/>
  <c r="A1120" i="6"/>
  <c r="C1119" i="6"/>
  <c r="A1119" i="6"/>
  <c r="C1118" i="6"/>
  <c r="A1118" i="6"/>
  <c r="C1117" i="6"/>
  <c r="A1117" i="6"/>
  <c r="C1116" i="6"/>
  <c r="A1116" i="6"/>
  <c r="C1115" i="6"/>
  <c r="A1115" i="6"/>
  <c r="C1114" i="6"/>
  <c r="A1114" i="6"/>
  <c r="C1113" i="6"/>
  <c r="A1113" i="6"/>
  <c r="C1112" i="6"/>
  <c r="A1112" i="6"/>
  <c r="C1111" i="6"/>
  <c r="A1111" i="6"/>
  <c r="C1110" i="6"/>
  <c r="A1110" i="6"/>
  <c r="C1109" i="6"/>
  <c r="A1109" i="6"/>
  <c r="C1108" i="6"/>
  <c r="A1108" i="6"/>
  <c r="C1107" i="6"/>
  <c r="A1107" i="6"/>
  <c r="C1106" i="6"/>
  <c r="A1106" i="6"/>
  <c r="C1105" i="6"/>
  <c r="A1105" i="6"/>
  <c r="C1104" i="6"/>
  <c r="A1104" i="6"/>
  <c r="C1103" i="6"/>
  <c r="A1103" i="6"/>
  <c r="C1102" i="6"/>
  <c r="A1102" i="6"/>
  <c r="C1101" i="6"/>
  <c r="A1101" i="6"/>
  <c r="C1100" i="6"/>
  <c r="A1100" i="6"/>
  <c r="C1099" i="6"/>
  <c r="A1099" i="6"/>
  <c r="C1098" i="6"/>
  <c r="A1098" i="6"/>
  <c r="C1097" i="6"/>
  <c r="A1097" i="6"/>
  <c r="C1096" i="6"/>
  <c r="A1096" i="6"/>
  <c r="C1095" i="6"/>
  <c r="A1095" i="6"/>
  <c r="C1094" i="6"/>
  <c r="A1094" i="6"/>
  <c r="C1093" i="6"/>
  <c r="A1093" i="6"/>
  <c r="C1092" i="6"/>
  <c r="A1092" i="6"/>
  <c r="C1091" i="6"/>
  <c r="A1091" i="6"/>
  <c r="C1090" i="6"/>
  <c r="A1090" i="6"/>
  <c r="C1089" i="6"/>
  <c r="A1089" i="6"/>
  <c r="C1088" i="6"/>
  <c r="A1088" i="6"/>
  <c r="C1087" i="6"/>
  <c r="A1087" i="6"/>
  <c r="C1086" i="6"/>
  <c r="A1086" i="6"/>
  <c r="C1085" i="6"/>
  <c r="A1085" i="6"/>
  <c r="C1084" i="6"/>
  <c r="A1084" i="6"/>
  <c r="C1083" i="6"/>
  <c r="A1083" i="6"/>
  <c r="C1082" i="6"/>
  <c r="A1082" i="6"/>
  <c r="C1081" i="6"/>
  <c r="A1081" i="6"/>
  <c r="C1080" i="6"/>
  <c r="A1080" i="6"/>
  <c r="C1079" i="6"/>
  <c r="A1079" i="6"/>
  <c r="C1078" i="6"/>
  <c r="A1078" i="6"/>
  <c r="C1077" i="6"/>
  <c r="A1077" i="6"/>
  <c r="C1076" i="6"/>
  <c r="A1076" i="6"/>
  <c r="C1075" i="6"/>
  <c r="A1075" i="6"/>
  <c r="C1074" i="6"/>
  <c r="A1074" i="6"/>
  <c r="C1073" i="6"/>
  <c r="A1073" i="6"/>
  <c r="C1072" i="6"/>
  <c r="A1072" i="6"/>
  <c r="C1071" i="6"/>
  <c r="A1071" i="6"/>
  <c r="C1070" i="6"/>
  <c r="A1070" i="6"/>
  <c r="C1069" i="6"/>
  <c r="A1069" i="6"/>
  <c r="C1068" i="6"/>
  <c r="A1068" i="6"/>
  <c r="C1067" i="6"/>
  <c r="A1067" i="6"/>
  <c r="C1066" i="6"/>
  <c r="A1066" i="6"/>
  <c r="C1065" i="6"/>
  <c r="A1065" i="6"/>
  <c r="C1064" i="6"/>
  <c r="A1064" i="6"/>
  <c r="C1063" i="6"/>
  <c r="A1063" i="6"/>
  <c r="C1062" i="6"/>
  <c r="A1062" i="6"/>
  <c r="C1061" i="6"/>
  <c r="A1061" i="6"/>
  <c r="C1060" i="6"/>
  <c r="A1060" i="6"/>
  <c r="C1059" i="6"/>
  <c r="A1059" i="6"/>
  <c r="C1058" i="6"/>
  <c r="A1058" i="6"/>
  <c r="C1057" i="6"/>
  <c r="A1057" i="6"/>
  <c r="C1056" i="6"/>
  <c r="A1056" i="6"/>
  <c r="C1055" i="6"/>
  <c r="A1055" i="6"/>
  <c r="C1054" i="6"/>
  <c r="A1054" i="6"/>
  <c r="C1053" i="6"/>
  <c r="A1053" i="6"/>
  <c r="C1052" i="6"/>
  <c r="A1052" i="6"/>
  <c r="C1051" i="6"/>
  <c r="A1051" i="6"/>
  <c r="C1050" i="6"/>
  <c r="A1050" i="6"/>
  <c r="C1049" i="6"/>
  <c r="A1049" i="6"/>
  <c r="C1048" i="6"/>
  <c r="A1048" i="6"/>
  <c r="C1047" i="6"/>
  <c r="A1047" i="6"/>
  <c r="C1046" i="6"/>
  <c r="A1046" i="6"/>
  <c r="C1045" i="6"/>
  <c r="A1045" i="6"/>
  <c r="C1044" i="6"/>
  <c r="A1044" i="6"/>
  <c r="C1043" i="6"/>
  <c r="A1043" i="6"/>
  <c r="C1042" i="6"/>
  <c r="A1042" i="6"/>
  <c r="C1041" i="6"/>
  <c r="A1041" i="6"/>
  <c r="C1040" i="6"/>
  <c r="A1040" i="6"/>
  <c r="C1039" i="6"/>
  <c r="A1039" i="6"/>
  <c r="C1038" i="6"/>
  <c r="A1038" i="6"/>
  <c r="C1037" i="6"/>
  <c r="A1037" i="6"/>
  <c r="C1036" i="6"/>
  <c r="A1036" i="6"/>
  <c r="C1035" i="6"/>
  <c r="A1035" i="6"/>
  <c r="C1034" i="6"/>
  <c r="A1034" i="6"/>
  <c r="C1033" i="6"/>
  <c r="A1033" i="6"/>
  <c r="C1032" i="6"/>
  <c r="A1032" i="6"/>
  <c r="C1031" i="6"/>
  <c r="A1031" i="6"/>
  <c r="C1030" i="6"/>
  <c r="A1030" i="6"/>
  <c r="C1029" i="6"/>
  <c r="A1029" i="6"/>
  <c r="C1028" i="6"/>
  <c r="A1028" i="6"/>
  <c r="C1027" i="6"/>
  <c r="A1027" i="6"/>
  <c r="C1026" i="6"/>
  <c r="A1026" i="6"/>
  <c r="C1025" i="6"/>
  <c r="A1025" i="6"/>
  <c r="C1024" i="6"/>
  <c r="A1024" i="6"/>
  <c r="C1023" i="6"/>
  <c r="A1023" i="6"/>
  <c r="C1022" i="6"/>
  <c r="A1022" i="6"/>
  <c r="C1021" i="6"/>
  <c r="A1021" i="6"/>
  <c r="C1020" i="6"/>
  <c r="A1020" i="6"/>
  <c r="C1019" i="6"/>
  <c r="A1019" i="6"/>
  <c r="C1018" i="6"/>
  <c r="A1018" i="6"/>
  <c r="C1017" i="6"/>
  <c r="A1017" i="6"/>
  <c r="C1016" i="6"/>
  <c r="A1016" i="6"/>
  <c r="C1015" i="6"/>
  <c r="A1015" i="6"/>
  <c r="C1014" i="6"/>
  <c r="A1014" i="6"/>
  <c r="C1013" i="6"/>
  <c r="A1013" i="6"/>
  <c r="C1012" i="6"/>
  <c r="A1012" i="6"/>
  <c r="C1011" i="6"/>
  <c r="A1011" i="6"/>
  <c r="C1010" i="6"/>
  <c r="A1010" i="6"/>
  <c r="C1009" i="6"/>
  <c r="A1009" i="6"/>
  <c r="C1008" i="6"/>
  <c r="A1008" i="6"/>
  <c r="C1007" i="6"/>
  <c r="A1007" i="6"/>
  <c r="C1006" i="6"/>
  <c r="A1006" i="6"/>
  <c r="C1005" i="6"/>
  <c r="A1005" i="6"/>
  <c r="C1004" i="6"/>
  <c r="A1004" i="6"/>
  <c r="C1003" i="6"/>
  <c r="A1003" i="6"/>
  <c r="C1002" i="6"/>
  <c r="A1002" i="6"/>
  <c r="C1001" i="6"/>
  <c r="A1001" i="6"/>
  <c r="C1000" i="6"/>
  <c r="A1000" i="6"/>
  <c r="C999" i="6"/>
  <c r="A999" i="6"/>
  <c r="C998" i="6"/>
  <c r="A998" i="6"/>
  <c r="C997" i="6"/>
  <c r="A997" i="6"/>
  <c r="C996" i="6"/>
  <c r="A996" i="6"/>
  <c r="C995" i="6"/>
  <c r="A995" i="6"/>
  <c r="C994" i="6"/>
  <c r="A994" i="6"/>
  <c r="C993" i="6"/>
  <c r="A993" i="6"/>
  <c r="C992" i="6"/>
  <c r="A992" i="6"/>
  <c r="C991" i="6"/>
  <c r="A991" i="6"/>
  <c r="C990" i="6"/>
  <c r="A990" i="6"/>
  <c r="C989" i="6"/>
  <c r="A989" i="6"/>
  <c r="C988" i="6"/>
  <c r="A988" i="6"/>
  <c r="C987" i="6"/>
  <c r="A987" i="6"/>
  <c r="C986" i="6"/>
  <c r="A986" i="6"/>
  <c r="C985" i="6"/>
  <c r="A985" i="6"/>
  <c r="C984" i="6"/>
  <c r="A984" i="6"/>
  <c r="C983" i="6"/>
  <c r="A983" i="6"/>
  <c r="C982" i="6"/>
  <c r="A982" i="6"/>
  <c r="C981" i="6"/>
  <c r="A981" i="6"/>
  <c r="C980" i="6"/>
  <c r="A980" i="6"/>
  <c r="C979" i="6"/>
  <c r="A979" i="6"/>
  <c r="C978" i="6"/>
  <c r="A978" i="6"/>
  <c r="C977" i="6"/>
  <c r="A977" i="6"/>
  <c r="C976" i="6"/>
  <c r="A976" i="6"/>
  <c r="C975" i="6"/>
  <c r="A975" i="6"/>
  <c r="C974" i="6"/>
  <c r="A974" i="6"/>
  <c r="C973" i="6"/>
  <c r="A973" i="6"/>
  <c r="C972" i="6"/>
  <c r="A972" i="6"/>
  <c r="C971" i="6"/>
  <c r="A971" i="6"/>
  <c r="C970" i="6"/>
  <c r="A970" i="6"/>
  <c r="C969" i="6"/>
  <c r="A969" i="6"/>
  <c r="C968" i="6"/>
  <c r="A968" i="6"/>
  <c r="C967" i="6"/>
  <c r="A967" i="6"/>
  <c r="C966" i="6"/>
  <c r="A966" i="6"/>
  <c r="C965" i="6"/>
  <c r="A965" i="6"/>
  <c r="C964" i="6"/>
  <c r="A964" i="6"/>
  <c r="C963" i="6"/>
  <c r="A963" i="6"/>
  <c r="C962" i="6"/>
  <c r="A962" i="6"/>
  <c r="C961" i="6"/>
  <c r="A961" i="6"/>
  <c r="C960" i="6"/>
  <c r="A960" i="6"/>
  <c r="C959" i="6"/>
  <c r="A959" i="6"/>
  <c r="C958" i="6"/>
  <c r="A958" i="6"/>
  <c r="C957" i="6"/>
  <c r="A957" i="6"/>
  <c r="C956" i="6"/>
  <c r="A956" i="6"/>
  <c r="C955" i="6"/>
  <c r="A955" i="6"/>
  <c r="C954" i="6"/>
  <c r="A954" i="6"/>
  <c r="C953" i="6"/>
  <c r="A953" i="6"/>
  <c r="C952" i="6"/>
  <c r="A952" i="6"/>
  <c r="C951" i="6"/>
  <c r="A951" i="6"/>
  <c r="C950" i="6"/>
  <c r="A950" i="6"/>
  <c r="C949" i="6"/>
  <c r="A949" i="6"/>
  <c r="C948" i="6"/>
  <c r="A948" i="6"/>
  <c r="C947" i="6"/>
  <c r="A947" i="6"/>
  <c r="C946" i="6"/>
  <c r="A946" i="6"/>
  <c r="C945" i="6"/>
  <c r="A945" i="6"/>
  <c r="C944" i="6"/>
  <c r="A944" i="6"/>
  <c r="C943" i="6"/>
  <c r="A943" i="6"/>
  <c r="C942" i="6"/>
  <c r="A942" i="6"/>
  <c r="C941" i="6"/>
  <c r="A941" i="6"/>
  <c r="C940" i="6"/>
  <c r="A940" i="6"/>
  <c r="C939" i="6"/>
  <c r="A939" i="6"/>
  <c r="C938" i="6"/>
  <c r="A938" i="6"/>
  <c r="C937" i="6"/>
  <c r="A937" i="6"/>
  <c r="C936" i="6"/>
  <c r="A936" i="6"/>
  <c r="C935" i="6"/>
  <c r="A935" i="6"/>
  <c r="C934" i="6"/>
  <c r="A934" i="6"/>
  <c r="C933" i="6"/>
  <c r="A933" i="6"/>
  <c r="C932" i="6"/>
  <c r="A932" i="6"/>
  <c r="C931" i="6"/>
  <c r="A931" i="6"/>
  <c r="C930" i="6"/>
  <c r="A930" i="6"/>
  <c r="C929" i="6"/>
  <c r="A929" i="6"/>
  <c r="C928" i="6"/>
  <c r="A928" i="6"/>
  <c r="C927" i="6"/>
  <c r="A927" i="6"/>
  <c r="C926" i="6"/>
  <c r="A926" i="6"/>
  <c r="C925" i="6"/>
  <c r="A925" i="6"/>
  <c r="C924" i="6"/>
  <c r="A924" i="6"/>
  <c r="C923" i="6"/>
  <c r="A923" i="6"/>
  <c r="C922" i="6"/>
  <c r="A922" i="6"/>
  <c r="C921" i="6"/>
  <c r="A921" i="6"/>
  <c r="C920" i="6"/>
  <c r="A920" i="6"/>
  <c r="C919" i="6"/>
  <c r="A919" i="6"/>
  <c r="C918" i="6"/>
  <c r="A918" i="6"/>
  <c r="C917" i="6"/>
  <c r="A917" i="6"/>
  <c r="C916" i="6"/>
  <c r="A916" i="6"/>
  <c r="C915" i="6"/>
  <c r="A915" i="6"/>
  <c r="C914" i="6"/>
  <c r="A914" i="6"/>
  <c r="C913" i="6"/>
  <c r="A913" i="6"/>
  <c r="C912" i="6"/>
  <c r="A912" i="6"/>
  <c r="C911" i="6"/>
  <c r="A911" i="6"/>
  <c r="C910" i="6"/>
  <c r="A910" i="6"/>
  <c r="C909" i="6"/>
  <c r="A909" i="6"/>
  <c r="C908" i="6"/>
  <c r="A908" i="6"/>
  <c r="C907" i="6"/>
  <c r="A907" i="6"/>
  <c r="C906" i="6"/>
  <c r="A906" i="6"/>
  <c r="C905" i="6"/>
  <c r="A905" i="6"/>
  <c r="C904" i="6"/>
  <c r="A904" i="6"/>
  <c r="C903" i="6"/>
  <c r="A903" i="6"/>
  <c r="C902" i="6"/>
  <c r="A902" i="6"/>
  <c r="C901" i="6"/>
  <c r="A901" i="6"/>
  <c r="C900" i="6"/>
  <c r="A900" i="6"/>
  <c r="C899" i="6"/>
  <c r="A899" i="6"/>
  <c r="C898" i="6"/>
  <c r="A898" i="6"/>
  <c r="C897" i="6"/>
  <c r="A897" i="6"/>
  <c r="C896" i="6"/>
  <c r="A896" i="6"/>
  <c r="C895" i="6"/>
  <c r="A895" i="6"/>
  <c r="C894" i="6"/>
  <c r="A894" i="6"/>
  <c r="C893" i="6"/>
  <c r="A893" i="6"/>
  <c r="C892" i="6"/>
  <c r="A892" i="6"/>
  <c r="C891" i="6"/>
  <c r="A891" i="6"/>
  <c r="C890" i="6"/>
  <c r="A890" i="6"/>
  <c r="C889" i="6"/>
  <c r="A889" i="6"/>
  <c r="C888" i="6"/>
  <c r="A888" i="6"/>
  <c r="C887" i="6"/>
  <c r="A887" i="6"/>
  <c r="C886" i="6"/>
  <c r="A886" i="6"/>
  <c r="C885" i="6"/>
  <c r="A885" i="6"/>
  <c r="C884" i="6"/>
  <c r="A884" i="6"/>
  <c r="C883" i="6"/>
  <c r="A883" i="6"/>
  <c r="C882" i="6"/>
  <c r="A882" i="6"/>
  <c r="C881" i="6"/>
  <c r="A881" i="6"/>
  <c r="C880" i="6"/>
  <c r="A880" i="6"/>
  <c r="C879" i="6"/>
  <c r="A879" i="6"/>
  <c r="C878" i="6"/>
  <c r="A878" i="6"/>
  <c r="C877" i="6"/>
  <c r="A877" i="6"/>
  <c r="C876" i="6"/>
  <c r="A876" i="6"/>
  <c r="C875" i="6"/>
  <c r="A875" i="6"/>
  <c r="C874" i="6"/>
  <c r="A874" i="6"/>
  <c r="C873" i="6"/>
  <c r="A873" i="6"/>
  <c r="C872" i="6"/>
  <c r="A872" i="6"/>
  <c r="C871" i="6"/>
  <c r="A871" i="6"/>
  <c r="C870" i="6"/>
  <c r="A870" i="6"/>
  <c r="C869" i="6"/>
  <c r="A869" i="6"/>
  <c r="C868" i="6"/>
  <c r="A868" i="6"/>
  <c r="C867" i="6"/>
  <c r="A867" i="6"/>
  <c r="C866" i="6"/>
  <c r="A866" i="6"/>
  <c r="C865" i="6"/>
  <c r="A865" i="6"/>
  <c r="C864" i="6"/>
  <c r="A864" i="6"/>
  <c r="C863" i="6"/>
  <c r="A863" i="6"/>
  <c r="C862" i="6"/>
  <c r="A862" i="6"/>
  <c r="C861" i="6"/>
  <c r="A861" i="6"/>
  <c r="C860" i="6"/>
  <c r="A860" i="6"/>
  <c r="C859" i="6"/>
  <c r="A859" i="6"/>
  <c r="C858" i="6"/>
  <c r="A858" i="6"/>
  <c r="C857" i="6"/>
  <c r="A857" i="6"/>
  <c r="C856" i="6"/>
  <c r="A856" i="6"/>
  <c r="C855" i="6"/>
  <c r="A855" i="6"/>
  <c r="C854" i="6"/>
  <c r="A854" i="6"/>
  <c r="C853" i="6"/>
  <c r="A853" i="6"/>
  <c r="C852" i="6"/>
  <c r="A852" i="6"/>
  <c r="C851" i="6"/>
  <c r="A851" i="6"/>
  <c r="C850" i="6"/>
  <c r="A850" i="6"/>
  <c r="C849" i="6"/>
  <c r="A849" i="6"/>
  <c r="C848" i="6"/>
  <c r="A848" i="6"/>
  <c r="C847" i="6"/>
  <c r="A847" i="6"/>
  <c r="C846" i="6"/>
  <c r="A846" i="6"/>
  <c r="C845" i="6"/>
  <c r="A845" i="6"/>
  <c r="C844" i="6"/>
  <c r="A844" i="6"/>
  <c r="C843" i="6"/>
  <c r="A843" i="6"/>
  <c r="C842" i="6"/>
  <c r="A842" i="6"/>
  <c r="C841" i="6"/>
  <c r="A841" i="6"/>
  <c r="C840" i="6"/>
  <c r="A840" i="6"/>
  <c r="C839" i="6"/>
  <c r="A839" i="6"/>
  <c r="C838" i="6"/>
  <c r="A838" i="6"/>
  <c r="C837" i="6"/>
  <c r="A837" i="6"/>
  <c r="C836" i="6"/>
  <c r="A836" i="6"/>
  <c r="C835" i="6"/>
  <c r="A835" i="6"/>
  <c r="C834" i="6"/>
  <c r="A834" i="6"/>
  <c r="C833" i="6"/>
  <c r="A833" i="6"/>
  <c r="C832" i="6"/>
  <c r="A832" i="6"/>
  <c r="C831" i="6"/>
  <c r="A831" i="6"/>
  <c r="C830" i="6"/>
  <c r="A830" i="6"/>
  <c r="C829" i="6"/>
  <c r="A829" i="6"/>
  <c r="C828" i="6"/>
  <c r="A828" i="6"/>
  <c r="C827" i="6"/>
  <c r="A827" i="6"/>
  <c r="C826" i="6"/>
  <c r="A826" i="6"/>
  <c r="C825" i="6"/>
  <c r="A825" i="6"/>
  <c r="C824" i="6"/>
  <c r="A824" i="6"/>
  <c r="C823" i="6"/>
  <c r="A823" i="6"/>
  <c r="C822" i="6"/>
  <c r="A822" i="6"/>
  <c r="C821" i="6"/>
  <c r="A821" i="6"/>
  <c r="C820" i="6"/>
  <c r="A820" i="6"/>
  <c r="C819" i="6"/>
  <c r="A819" i="6"/>
  <c r="C818" i="6"/>
  <c r="A818" i="6"/>
  <c r="C817" i="6"/>
  <c r="A817" i="6"/>
  <c r="C816" i="6"/>
  <c r="A816" i="6"/>
  <c r="C815" i="6"/>
  <c r="A815" i="6"/>
  <c r="C814" i="6"/>
  <c r="A814" i="6"/>
  <c r="C813" i="6"/>
  <c r="A813" i="6"/>
  <c r="C812" i="6"/>
  <c r="A812" i="6"/>
  <c r="C811" i="6"/>
  <c r="A811" i="6"/>
  <c r="C810" i="6"/>
  <c r="A810" i="6"/>
  <c r="C809" i="6"/>
  <c r="A809" i="6"/>
  <c r="C808" i="6"/>
  <c r="A808" i="6"/>
  <c r="C807" i="6"/>
  <c r="A807" i="6"/>
  <c r="C806" i="6"/>
  <c r="A806" i="6"/>
  <c r="C805" i="6"/>
  <c r="A805" i="6"/>
  <c r="C804" i="6"/>
  <c r="A804" i="6"/>
  <c r="C803" i="6"/>
  <c r="A803" i="6"/>
  <c r="C802" i="6"/>
  <c r="A802" i="6"/>
  <c r="C801" i="6"/>
  <c r="A801" i="6"/>
  <c r="C800" i="6"/>
  <c r="A800" i="6"/>
  <c r="C799" i="6"/>
  <c r="A799" i="6"/>
  <c r="C798" i="6"/>
  <c r="A798" i="6"/>
  <c r="C797" i="6"/>
  <c r="A797" i="6"/>
  <c r="C796" i="6"/>
  <c r="A796" i="6"/>
  <c r="C795" i="6"/>
  <c r="A795" i="6"/>
  <c r="C794" i="6"/>
  <c r="A794" i="6"/>
  <c r="C793" i="6"/>
  <c r="A793" i="6"/>
  <c r="C792" i="6"/>
  <c r="A792" i="6"/>
  <c r="C791" i="6"/>
  <c r="A791" i="6"/>
  <c r="C790" i="6"/>
  <c r="A790" i="6"/>
  <c r="C789" i="6"/>
  <c r="A789" i="6"/>
  <c r="C788" i="6"/>
  <c r="A788" i="6"/>
  <c r="C787" i="6"/>
  <c r="A787" i="6"/>
  <c r="C786" i="6"/>
  <c r="A786" i="6"/>
  <c r="C785" i="6"/>
  <c r="A785" i="6"/>
  <c r="C784" i="6"/>
  <c r="A784" i="6"/>
  <c r="C783" i="6"/>
  <c r="A783" i="6"/>
  <c r="C782" i="6"/>
  <c r="A782" i="6"/>
  <c r="C781" i="6"/>
  <c r="A781" i="6"/>
  <c r="C780" i="6"/>
  <c r="A780" i="6"/>
  <c r="C779" i="6"/>
  <c r="A779" i="6"/>
  <c r="C778" i="6"/>
  <c r="A778" i="6"/>
  <c r="C777" i="6"/>
  <c r="A777" i="6"/>
  <c r="C776" i="6"/>
  <c r="A776" i="6"/>
  <c r="C775" i="6"/>
  <c r="A775" i="6"/>
  <c r="C774" i="6"/>
  <c r="A774" i="6"/>
  <c r="C773" i="6"/>
  <c r="A773" i="6"/>
  <c r="C772" i="6"/>
  <c r="A772" i="6"/>
  <c r="C771" i="6"/>
  <c r="A771" i="6"/>
  <c r="C770" i="6"/>
  <c r="A770" i="6"/>
  <c r="C769" i="6"/>
  <c r="A769" i="6"/>
  <c r="C768" i="6"/>
  <c r="A768" i="6"/>
  <c r="C767" i="6"/>
  <c r="A767" i="6"/>
  <c r="C766" i="6"/>
  <c r="A766" i="6"/>
  <c r="C765" i="6"/>
  <c r="A765" i="6"/>
  <c r="C764" i="6"/>
  <c r="A764" i="6"/>
  <c r="C763" i="6"/>
  <c r="A763" i="6"/>
  <c r="C762" i="6"/>
  <c r="A762" i="6"/>
  <c r="C761" i="6"/>
  <c r="A761" i="6"/>
  <c r="C760" i="6"/>
  <c r="A760" i="6"/>
  <c r="C759" i="6"/>
  <c r="A759" i="6"/>
  <c r="C758" i="6"/>
  <c r="A758" i="6"/>
  <c r="C757" i="6"/>
  <c r="A757" i="6"/>
  <c r="C756" i="6"/>
  <c r="A756" i="6"/>
  <c r="C755" i="6"/>
  <c r="A755" i="6"/>
  <c r="C754" i="6"/>
  <c r="A754" i="6"/>
  <c r="C753" i="6"/>
  <c r="A753" i="6"/>
  <c r="C752" i="6"/>
  <c r="A752" i="6"/>
  <c r="C751" i="6"/>
  <c r="A751" i="6"/>
  <c r="C750" i="6"/>
  <c r="A750" i="6"/>
  <c r="C749" i="6"/>
  <c r="A749" i="6"/>
  <c r="C748" i="6"/>
  <c r="A748" i="6"/>
  <c r="C747" i="6"/>
  <c r="A747" i="6"/>
  <c r="C746" i="6"/>
  <c r="A746" i="6"/>
  <c r="C745" i="6"/>
  <c r="A745" i="6"/>
  <c r="C744" i="6"/>
  <c r="A744" i="6"/>
  <c r="C743" i="6"/>
  <c r="A743" i="6"/>
  <c r="C742" i="6"/>
  <c r="A742" i="6"/>
  <c r="C741" i="6"/>
  <c r="A741" i="6"/>
  <c r="C740" i="6"/>
  <c r="A740" i="6"/>
  <c r="C739" i="6"/>
  <c r="A739" i="6"/>
  <c r="C738" i="6"/>
  <c r="A738" i="6"/>
  <c r="C737" i="6"/>
  <c r="A737" i="6"/>
  <c r="C736" i="6"/>
  <c r="A736" i="6"/>
  <c r="C735" i="6"/>
  <c r="A735" i="6"/>
  <c r="C734" i="6"/>
  <c r="A734" i="6"/>
  <c r="C733" i="6"/>
  <c r="A733" i="6"/>
  <c r="C732" i="6"/>
  <c r="A732" i="6"/>
  <c r="C731" i="6"/>
  <c r="A731" i="6"/>
  <c r="C730" i="6"/>
  <c r="A730" i="6"/>
  <c r="C729" i="6"/>
  <c r="A729" i="6"/>
  <c r="C728" i="6"/>
  <c r="A728" i="6"/>
  <c r="C727" i="6"/>
  <c r="A727" i="6"/>
  <c r="C726" i="6"/>
  <c r="A726" i="6"/>
  <c r="C725" i="6"/>
  <c r="A725" i="6"/>
  <c r="C724" i="6"/>
  <c r="A724" i="6"/>
  <c r="C723" i="6"/>
  <c r="A723" i="6"/>
  <c r="C722" i="6"/>
  <c r="A722" i="6"/>
  <c r="C721" i="6"/>
  <c r="A721" i="6"/>
  <c r="C720" i="6"/>
  <c r="A720" i="6"/>
  <c r="C719" i="6"/>
  <c r="A719" i="6"/>
  <c r="C718" i="6"/>
  <c r="A718" i="6"/>
  <c r="C717" i="6"/>
  <c r="A717" i="6"/>
  <c r="C716" i="6"/>
  <c r="A716" i="6"/>
  <c r="C715" i="6"/>
  <c r="A715" i="6"/>
  <c r="C714" i="6"/>
  <c r="A714" i="6"/>
  <c r="C713" i="6"/>
  <c r="A713" i="6"/>
  <c r="C712" i="6"/>
  <c r="A712" i="6"/>
  <c r="C711" i="6"/>
  <c r="A711" i="6"/>
  <c r="C710" i="6"/>
  <c r="A710" i="6"/>
  <c r="C709" i="6"/>
  <c r="A709" i="6"/>
  <c r="C708" i="6"/>
  <c r="A708" i="6"/>
  <c r="C707" i="6"/>
  <c r="A707" i="6"/>
  <c r="C706" i="6"/>
  <c r="A706" i="6"/>
  <c r="C705" i="6"/>
  <c r="A705" i="6"/>
  <c r="C704" i="6"/>
  <c r="A704" i="6"/>
  <c r="C703" i="6"/>
  <c r="A703" i="6"/>
  <c r="C702" i="6"/>
  <c r="A702" i="6"/>
  <c r="C701" i="6"/>
  <c r="A701" i="6"/>
  <c r="C700" i="6"/>
  <c r="A700" i="6"/>
  <c r="C699" i="6"/>
  <c r="A699" i="6"/>
  <c r="C698" i="6"/>
  <c r="A698" i="6"/>
  <c r="C697" i="6"/>
  <c r="A697" i="6"/>
  <c r="C696" i="6"/>
  <c r="A696" i="6"/>
  <c r="C695" i="6"/>
  <c r="A695" i="6"/>
  <c r="C694" i="6"/>
  <c r="A694" i="6"/>
  <c r="C693" i="6"/>
  <c r="A693" i="6"/>
  <c r="C692" i="6"/>
  <c r="A692" i="6"/>
  <c r="C691" i="6"/>
  <c r="A691" i="6"/>
  <c r="C690" i="6"/>
  <c r="A690" i="6"/>
  <c r="C689" i="6"/>
  <c r="A689" i="6"/>
  <c r="C688" i="6"/>
  <c r="A688" i="6"/>
  <c r="C687" i="6"/>
  <c r="A687" i="6"/>
  <c r="C686" i="6"/>
  <c r="A686" i="6"/>
  <c r="C685" i="6"/>
  <c r="A685" i="6"/>
  <c r="C684" i="6"/>
  <c r="A684" i="6"/>
  <c r="C683" i="6"/>
  <c r="A683" i="6"/>
  <c r="C682" i="6"/>
  <c r="A682" i="6"/>
  <c r="C681" i="6"/>
  <c r="A681" i="6"/>
  <c r="C680" i="6"/>
  <c r="A680" i="6"/>
  <c r="C679" i="6"/>
  <c r="A679" i="6"/>
  <c r="C678" i="6"/>
  <c r="A678" i="6"/>
  <c r="C677" i="6"/>
  <c r="A677" i="6"/>
  <c r="C676" i="6"/>
  <c r="A676" i="6"/>
  <c r="C675" i="6"/>
  <c r="A675" i="6"/>
  <c r="C674" i="6"/>
  <c r="A674" i="6"/>
  <c r="C673" i="6"/>
  <c r="A673" i="6"/>
  <c r="C672" i="6"/>
  <c r="A672" i="6"/>
  <c r="C671" i="6"/>
  <c r="A671" i="6"/>
  <c r="C670" i="6"/>
  <c r="A670" i="6"/>
  <c r="C669" i="6"/>
  <c r="A669" i="6"/>
  <c r="C668" i="6"/>
  <c r="A668" i="6"/>
  <c r="C667" i="6"/>
  <c r="A667" i="6"/>
  <c r="C666" i="6"/>
  <c r="A666" i="6"/>
  <c r="C665" i="6"/>
  <c r="A665" i="6"/>
  <c r="C664" i="6"/>
  <c r="A664" i="6"/>
  <c r="C663" i="6"/>
  <c r="A663" i="6"/>
  <c r="C662" i="6"/>
  <c r="A662" i="6"/>
  <c r="C661" i="6"/>
  <c r="A661" i="6"/>
  <c r="C660" i="6"/>
  <c r="A660" i="6"/>
  <c r="C659" i="6"/>
  <c r="A659" i="6"/>
  <c r="C658" i="6"/>
  <c r="A658" i="6"/>
  <c r="C657" i="6"/>
  <c r="A657" i="6"/>
  <c r="C656" i="6"/>
  <c r="A656" i="6"/>
  <c r="C655" i="6"/>
  <c r="A655" i="6"/>
  <c r="C654" i="6"/>
  <c r="A654" i="6"/>
  <c r="C653" i="6"/>
  <c r="A653" i="6"/>
  <c r="C652" i="6"/>
  <c r="A652" i="6"/>
  <c r="C651" i="6"/>
  <c r="A651" i="6"/>
  <c r="C650" i="6"/>
  <c r="A650" i="6"/>
  <c r="C649" i="6"/>
  <c r="A649" i="6"/>
  <c r="C648" i="6"/>
  <c r="A648" i="6"/>
  <c r="C647" i="6"/>
  <c r="A647" i="6"/>
  <c r="C646" i="6"/>
  <c r="A646" i="6"/>
  <c r="C645" i="6"/>
  <c r="A645" i="6"/>
  <c r="C644" i="6"/>
  <c r="A644" i="6"/>
  <c r="C643" i="6"/>
  <c r="A643" i="6"/>
  <c r="C642" i="6"/>
  <c r="A642" i="6"/>
  <c r="C641" i="6"/>
  <c r="A641" i="6"/>
  <c r="C640" i="6"/>
  <c r="A640" i="6"/>
  <c r="C639" i="6"/>
  <c r="A639" i="6"/>
  <c r="C638" i="6"/>
  <c r="A638" i="6"/>
  <c r="C637" i="6"/>
  <c r="A637" i="6"/>
  <c r="C636" i="6"/>
  <c r="A636" i="6"/>
  <c r="C635" i="6"/>
  <c r="A635" i="6"/>
  <c r="C634" i="6"/>
  <c r="A634" i="6"/>
  <c r="C633" i="6"/>
  <c r="A633" i="6"/>
  <c r="C632" i="6"/>
  <c r="A632" i="6"/>
  <c r="C631" i="6"/>
  <c r="A631" i="6"/>
  <c r="C630" i="6"/>
  <c r="A630" i="6"/>
  <c r="C629" i="6"/>
  <c r="A629" i="6"/>
  <c r="C628" i="6"/>
  <c r="A628" i="6"/>
  <c r="C627" i="6"/>
  <c r="A627" i="6"/>
  <c r="C626" i="6"/>
  <c r="A626" i="6"/>
  <c r="C625" i="6"/>
  <c r="A625" i="6"/>
  <c r="C624" i="6"/>
  <c r="A624" i="6"/>
  <c r="C623" i="6"/>
  <c r="A623" i="6"/>
  <c r="C622" i="6"/>
  <c r="A622" i="6"/>
  <c r="C621" i="6"/>
  <c r="A621" i="6"/>
  <c r="C620" i="6"/>
  <c r="A620" i="6"/>
  <c r="C619" i="6"/>
  <c r="A619" i="6"/>
  <c r="C618" i="6"/>
  <c r="A618" i="6"/>
  <c r="C617" i="6"/>
  <c r="A617" i="6"/>
  <c r="C616" i="6"/>
  <c r="A616" i="6"/>
  <c r="C615" i="6"/>
  <c r="A615" i="6"/>
  <c r="C614" i="6"/>
  <c r="A614" i="6"/>
  <c r="C613" i="6"/>
  <c r="A613" i="6"/>
  <c r="C612" i="6"/>
  <c r="A612" i="6"/>
  <c r="C611" i="6"/>
  <c r="A611" i="6"/>
  <c r="C610" i="6"/>
  <c r="A610" i="6"/>
  <c r="C609" i="6"/>
  <c r="A609" i="6"/>
  <c r="C608" i="6"/>
  <c r="A608" i="6"/>
  <c r="C607" i="6"/>
  <c r="A607" i="6"/>
  <c r="C606" i="6"/>
  <c r="A606" i="6"/>
  <c r="C605" i="6"/>
  <c r="A605" i="6"/>
  <c r="C604" i="6"/>
  <c r="A604" i="6"/>
  <c r="C603" i="6"/>
  <c r="A603" i="6"/>
  <c r="C602" i="6"/>
  <c r="A602" i="6"/>
  <c r="C601" i="6"/>
  <c r="A601" i="6"/>
  <c r="C600" i="6"/>
  <c r="A600" i="6"/>
  <c r="C599" i="6"/>
  <c r="A599" i="6"/>
  <c r="C598" i="6"/>
  <c r="A598" i="6"/>
  <c r="C597" i="6"/>
  <c r="A597" i="6"/>
  <c r="C596" i="6"/>
  <c r="A596" i="6"/>
  <c r="C595" i="6"/>
  <c r="A595" i="6"/>
  <c r="C594" i="6"/>
  <c r="A594" i="6"/>
  <c r="C593" i="6"/>
  <c r="A593" i="6"/>
  <c r="C592" i="6"/>
  <c r="A592" i="6"/>
  <c r="C591" i="6"/>
  <c r="A591" i="6"/>
  <c r="C590" i="6"/>
  <c r="A590" i="6"/>
  <c r="C589" i="6"/>
  <c r="A589" i="6"/>
  <c r="C588" i="6"/>
  <c r="A588" i="6"/>
  <c r="C587" i="6"/>
  <c r="A587" i="6"/>
  <c r="C586" i="6"/>
  <c r="A586" i="6"/>
  <c r="C585" i="6"/>
  <c r="A585" i="6"/>
  <c r="C584" i="6"/>
  <c r="A584" i="6"/>
  <c r="C583" i="6"/>
  <c r="A583" i="6"/>
  <c r="C582" i="6"/>
  <c r="A582" i="6"/>
  <c r="C581" i="6"/>
  <c r="A581" i="6"/>
  <c r="C580" i="6"/>
  <c r="A580" i="6"/>
  <c r="C579" i="6"/>
  <c r="A579" i="6"/>
  <c r="C578" i="6"/>
  <c r="A578" i="6"/>
  <c r="C577" i="6"/>
  <c r="A577" i="6"/>
  <c r="C576" i="6"/>
  <c r="A576" i="6"/>
  <c r="C575" i="6"/>
  <c r="A575" i="6"/>
  <c r="C574" i="6"/>
  <c r="A574" i="6"/>
  <c r="C573" i="6"/>
  <c r="A573" i="6"/>
  <c r="C572" i="6"/>
  <c r="A572" i="6"/>
  <c r="C571" i="6"/>
  <c r="A571" i="6"/>
  <c r="C570" i="6"/>
  <c r="A570" i="6"/>
  <c r="C569" i="6"/>
  <c r="A569" i="6"/>
  <c r="C568" i="6"/>
  <c r="A568" i="6"/>
  <c r="C567" i="6"/>
  <c r="A567" i="6"/>
  <c r="C566" i="6"/>
  <c r="A566" i="6"/>
  <c r="C565" i="6"/>
  <c r="A565" i="6"/>
  <c r="C564" i="6"/>
  <c r="A564" i="6"/>
  <c r="C563" i="6"/>
  <c r="A563" i="6"/>
  <c r="C562" i="6"/>
  <c r="A562" i="6"/>
  <c r="C561" i="6"/>
  <c r="A561" i="6"/>
  <c r="C560" i="6"/>
  <c r="A560" i="6"/>
  <c r="C559" i="6"/>
  <c r="A559" i="6"/>
  <c r="C558" i="6"/>
  <c r="A558" i="6"/>
  <c r="C557" i="6"/>
  <c r="A557" i="6"/>
  <c r="C556" i="6"/>
  <c r="A556" i="6"/>
  <c r="C555" i="6"/>
  <c r="A555" i="6"/>
  <c r="C554" i="6"/>
  <c r="A554" i="6"/>
  <c r="C553" i="6"/>
  <c r="A553" i="6"/>
  <c r="C552" i="6"/>
  <c r="A552" i="6"/>
  <c r="C551" i="6"/>
  <c r="A551" i="6"/>
  <c r="C550" i="6"/>
  <c r="A550" i="6"/>
  <c r="C549" i="6"/>
  <c r="A549" i="6"/>
  <c r="C548" i="6"/>
  <c r="A548" i="6"/>
  <c r="C547" i="6"/>
  <c r="A547" i="6"/>
  <c r="C546" i="6"/>
  <c r="A546" i="6"/>
  <c r="C545" i="6"/>
  <c r="A545" i="6"/>
  <c r="C544" i="6"/>
  <c r="A544" i="6"/>
  <c r="C543" i="6"/>
  <c r="A543" i="6"/>
  <c r="C542" i="6"/>
  <c r="A542" i="6"/>
  <c r="C541" i="6"/>
  <c r="A541" i="6"/>
  <c r="C540" i="6"/>
  <c r="A540" i="6"/>
  <c r="C539" i="6"/>
  <c r="A539" i="6"/>
  <c r="C538" i="6"/>
  <c r="A538" i="6"/>
  <c r="C537" i="6"/>
  <c r="A537" i="6"/>
  <c r="C536" i="6"/>
  <c r="A536" i="6"/>
  <c r="C535" i="6"/>
  <c r="A535" i="6"/>
  <c r="C534" i="6"/>
  <c r="A534" i="6"/>
  <c r="C533" i="6"/>
  <c r="A533" i="6"/>
  <c r="C532" i="6"/>
  <c r="A532" i="6"/>
  <c r="C531" i="6"/>
  <c r="A531" i="6"/>
  <c r="C530" i="6"/>
  <c r="A530" i="6"/>
  <c r="C529" i="6"/>
  <c r="A529" i="6"/>
  <c r="C528" i="6"/>
  <c r="A528" i="6"/>
  <c r="C527" i="6"/>
  <c r="A527" i="6"/>
  <c r="C526" i="6"/>
  <c r="A526" i="6"/>
  <c r="C525" i="6"/>
  <c r="A525" i="6"/>
  <c r="C524" i="6"/>
  <c r="A524" i="6"/>
  <c r="C523" i="6"/>
  <c r="A523" i="6"/>
  <c r="C522" i="6"/>
  <c r="A522" i="6"/>
  <c r="C521" i="6"/>
  <c r="A521" i="6"/>
  <c r="C520" i="6"/>
  <c r="A520" i="6"/>
  <c r="C519" i="6"/>
  <c r="A519" i="6"/>
  <c r="C518" i="6"/>
  <c r="A518" i="6"/>
  <c r="C517" i="6"/>
  <c r="A517" i="6"/>
  <c r="C516" i="6"/>
  <c r="A516" i="6"/>
  <c r="C515" i="6"/>
  <c r="A515" i="6"/>
  <c r="C514" i="6"/>
  <c r="A514" i="6"/>
  <c r="C513" i="6"/>
  <c r="A513" i="6"/>
  <c r="C512" i="6"/>
  <c r="A512" i="6"/>
  <c r="C511" i="6"/>
  <c r="A511" i="6"/>
  <c r="C510" i="6"/>
  <c r="A510" i="6"/>
  <c r="C509" i="6"/>
  <c r="A509" i="6"/>
  <c r="C508" i="6"/>
  <c r="A508" i="6"/>
  <c r="C507" i="6"/>
  <c r="A507" i="6"/>
  <c r="C506" i="6"/>
  <c r="A506" i="6"/>
  <c r="C505" i="6"/>
  <c r="A505" i="6"/>
  <c r="C504" i="6"/>
  <c r="A504" i="6"/>
  <c r="C503" i="6"/>
  <c r="A503" i="6"/>
  <c r="C502" i="6"/>
  <c r="A502" i="6"/>
  <c r="C501" i="6"/>
  <c r="A501" i="6"/>
  <c r="C500" i="6"/>
  <c r="A500" i="6"/>
  <c r="C499" i="6"/>
  <c r="A499" i="6"/>
  <c r="C498" i="6"/>
  <c r="A498" i="6"/>
  <c r="C497" i="6"/>
  <c r="A497" i="6"/>
  <c r="C496" i="6"/>
  <c r="A496" i="6"/>
  <c r="C495" i="6"/>
  <c r="A495" i="6"/>
  <c r="C494" i="6"/>
  <c r="A494" i="6"/>
  <c r="C493" i="6"/>
  <c r="A493" i="6"/>
  <c r="C492" i="6"/>
  <c r="A492" i="6"/>
  <c r="C491" i="6"/>
  <c r="A491" i="6"/>
  <c r="C490" i="6"/>
  <c r="A490" i="6"/>
  <c r="C489" i="6"/>
  <c r="A489" i="6"/>
  <c r="C488" i="6"/>
  <c r="A488" i="6"/>
  <c r="C487" i="6"/>
  <c r="A487" i="6"/>
  <c r="C486" i="6"/>
  <c r="A486" i="6"/>
  <c r="C485" i="6"/>
  <c r="A485" i="6"/>
  <c r="C484" i="6"/>
  <c r="A484" i="6"/>
  <c r="C483" i="6"/>
  <c r="A483" i="6"/>
  <c r="C482" i="6"/>
  <c r="A482" i="6"/>
  <c r="C481" i="6"/>
  <c r="A481" i="6"/>
  <c r="C480" i="6"/>
  <c r="A480" i="6"/>
  <c r="C479" i="6"/>
  <c r="A479" i="6"/>
  <c r="C478" i="6"/>
  <c r="A478" i="6"/>
  <c r="C477" i="6"/>
  <c r="A477" i="6"/>
  <c r="C476" i="6"/>
  <c r="A476" i="6"/>
  <c r="C475" i="6"/>
  <c r="A475" i="6"/>
  <c r="C474" i="6"/>
  <c r="A474" i="6"/>
  <c r="C473" i="6"/>
  <c r="A473" i="6"/>
  <c r="C472" i="6"/>
  <c r="A472" i="6"/>
  <c r="C471" i="6"/>
  <c r="A471" i="6"/>
  <c r="C470" i="6"/>
  <c r="A470" i="6"/>
  <c r="C469" i="6"/>
  <c r="A469" i="6"/>
  <c r="C468" i="6"/>
  <c r="A468" i="6"/>
  <c r="C467" i="6"/>
  <c r="A467" i="6"/>
  <c r="C466" i="6"/>
  <c r="A466" i="6"/>
  <c r="C465" i="6"/>
  <c r="A465" i="6"/>
  <c r="C464" i="6"/>
  <c r="A464" i="6"/>
  <c r="C463" i="6"/>
  <c r="A463" i="6"/>
  <c r="C462" i="6"/>
  <c r="A462" i="6"/>
  <c r="C461" i="6"/>
  <c r="A461" i="6"/>
  <c r="C460" i="6"/>
  <c r="A460" i="6"/>
  <c r="C459" i="6"/>
  <c r="A459" i="6"/>
  <c r="C458" i="6"/>
  <c r="A458" i="6"/>
  <c r="C457" i="6"/>
  <c r="A457" i="6"/>
  <c r="C456" i="6"/>
  <c r="A456" i="6"/>
  <c r="C455" i="6"/>
  <c r="A455" i="6"/>
  <c r="C454" i="6"/>
  <c r="A454" i="6"/>
  <c r="C453" i="6"/>
  <c r="A453" i="6"/>
  <c r="C452" i="6"/>
  <c r="A452" i="6"/>
  <c r="C451" i="6"/>
  <c r="A451" i="6"/>
  <c r="C450" i="6"/>
  <c r="A450" i="6"/>
  <c r="C449" i="6"/>
  <c r="A449" i="6"/>
  <c r="C448" i="6"/>
  <c r="A448" i="6"/>
  <c r="C447" i="6"/>
  <c r="A447" i="6"/>
  <c r="C446" i="6"/>
  <c r="A446" i="6"/>
  <c r="C445" i="6"/>
  <c r="A445" i="6"/>
  <c r="C444" i="6"/>
  <c r="A444" i="6"/>
  <c r="C443" i="6"/>
  <c r="A443" i="6"/>
  <c r="C442" i="6"/>
  <c r="A442" i="6"/>
  <c r="C441" i="6"/>
  <c r="A441" i="6"/>
  <c r="C440" i="6"/>
  <c r="A440" i="6"/>
  <c r="C439" i="6"/>
  <c r="A439" i="6"/>
  <c r="C438" i="6"/>
  <c r="A438" i="6"/>
  <c r="C437" i="6"/>
  <c r="A437" i="6"/>
  <c r="C436" i="6"/>
  <c r="A436" i="6"/>
  <c r="C435" i="6"/>
  <c r="A435" i="6"/>
  <c r="C434" i="6"/>
  <c r="A434" i="6"/>
  <c r="C433" i="6"/>
  <c r="A433" i="6"/>
  <c r="C432" i="6"/>
  <c r="A432" i="6"/>
  <c r="C431" i="6"/>
  <c r="A431" i="6"/>
  <c r="C430" i="6"/>
  <c r="A430" i="6"/>
  <c r="C429" i="6"/>
  <c r="A429" i="6"/>
  <c r="C428" i="6"/>
  <c r="A428" i="6"/>
  <c r="C427" i="6"/>
  <c r="A427" i="6"/>
  <c r="C426" i="6"/>
  <c r="A426" i="6"/>
  <c r="C425" i="6"/>
  <c r="A425" i="6"/>
  <c r="C424" i="6"/>
  <c r="A424" i="6"/>
  <c r="C423" i="6"/>
  <c r="A423" i="6"/>
  <c r="C422" i="6"/>
  <c r="A422" i="6"/>
  <c r="C421" i="6"/>
  <c r="A421" i="6"/>
  <c r="C420" i="6"/>
  <c r="A420" i="6"/>
  <c r="C419" i="6"/>
  <c r="A419" i="6"/>
  <c r="C418" i="6"/>
  <c r="A418" i="6"/>
  <c r="C417" i="6"/>
  <c r="A417" i="6"/>
  <c r="C416" i="6"/>
  <c r="A416" i="6"/>
  <c r="C415" i="6"/>
  <c r="A415" i="6"/>
  <c r="C414" i="6"/>
  <c r="A414" i="6"/>
  <c r="C413" i="6"/>
  <c r="A413" i="6"/>
  <c r="C412" i="6"/>
  <c r="A412" i="6"/>
  <c r="C411" i="6"/>
  <c r="A411" i="6"/>
  <c r="C410" i="6"/>
  <c r="A410" i="6"/>
  <c r="C409" i="6"/>
  <c r="A409" i="6"/>
  <c r="C408" i="6"/>
  <c r="A408" i="6"/>
  <c r="C407" i="6"/>
  <c r="A407" i="6"/>
  <c r="C406" i="6"/>
  <c r="A406" i="6"/>
  <c r="C405" i="6"/>
  <c r="A405" i="6"/>
  <c r="C404" i="6"/>
  <c r="A404" i="6"/>
  <c r="C403" i="6"/>
  <c r="A403" i="6"/>
  <c r="C402" i="6"/>
  <c r="A402" i="6"/>
  <c r="C401" i="6"/>
  <c r="A401" i="6"/>
  <c r="C400" i="6"/>
  <c r="A400" i="6"/>
  <c r="C399" i="6"/>
  <c r="A399" i="6"/>
  <c r="C398" i="6"/>
  <c r="A398" i="6"/>
  <c r="C397" i="6"/>
  <c r="A397" i="6"/>
  <c r="C396" i="6"/>
  <c r="A396" i="6"/>
  <c r="C395" i="6"/>
  <c r="A395" i="6"/>
  <c r="C394" i="6"/>
  <c r="A394" i="6"/>
  <c r="C393" i="6"/>
  <c r="A393" i="6"/>
  <c r="C392" i="6"/>
  <c r="A392" i="6"/>
  <c r="C391" i="6"/>
  <c r="A391" i="6"/>
  <c r="C390" i="6"/>
  <c r="A390" i="6"/>
  <c r="C389" i="6"/>
  <c r="A389" i="6"/>
  <c r="C388" i="6"/>
  <c r="A388" i="6"/>
  <c r="C387" i="6"/>
  <c r="A387" i="6"/>
  <c r="C386" i="6"/>
  <c r="A386" i="6"/>
  <c r="C385" i="6"/>
  <c r="A385" i="6"/>
  <c r="C384" i="6"/>
  <c r="A384" i="6"/>
  <c r="C383" i="6"/>
  <c r="A383" i="6"/>
  <c r="C382" i="6"/>
  <c r="A382" i="6"/>
  <c r="C381" i="6"/>
  <c r="A381" i="6"/>
  <c r="C380" i="6"/>
  <c r="A380" i="6"/>
  <c r="C379" i="6"/>
  <c r="A379" i="6"/>
  <c r="C378" i="6"/>
  <c r="A378" i="6"/>
  <c r="C377" i="6"/>
  <c r="A377" i="6"/>
  <c r="C376" i="6"/>
  <c r="A376" i="6"/>
  <c r="C375" i="6"/>
  <c r="A375" i="6"/>
  <c r="C374" i="6"/>
  <c r="A374" i="6"/>
  <c r="C373" i="6"/>
  <c r="A373" i="6"/>
  <c r="C372" i="6"/>
  <c r="A372" i="6"/>
  <c r="C371" i="6"/>
  <c r="A371" i="6"/>
  <c r="C370" i="6"/>
  <c r="A370" i="6"/>
  <c r="C369" i="6"/>
  <c r="A369" i="6"/>
  <c r="C368" i="6"/>
  <c r="A368" i="6"/>
  <c r="C367" i="6"/>
  <c r="A367" i="6"/>
  <c r="C366" i="6"/>
  <c r="A366" i="6"/>
  <c r="C365" i="6"/>
  <c r="A365" i="6"/>
  <c r="C364" i="6"/>
  <c r="A364" i="6"/>
  <c r="C363" i="6"/>
  <c r="A363" i="6"/>
  <c r="C362" i="6"/>
  <c r="A362" i="6"/>
  <c r="C361" i="6"/>
  <c r="A361" i="6"/>
  <c r="C360" i="6"/>
  <c r="A360" i="6"/>
  <c r="C359" i="6"/>
  <c r="A359" i="6"/>
  <c r="C358" i="6"/>
  <c r="A358" i="6"/>
  <c r="C357" i="6"/>
  <c r="A357" i="6"/>
  <c r="C356" i="6"/>
  <c r="A356" i="6"/>
  <c r="C355" i="6"/>
  <c r="A355" i="6"/>
  <c r="C354" i="6"/>
  <c r="A354" i="6"/>
  <c r="C353" i="6"/>
  <c r="A353" i="6"/>
  <c r="C352" i="6"/>
  <c r="A352" i="6"/>
  <c r="C351" i="6"/>
  <c r="A351" i="6"/>
  <c r="C350" i="6"/>
  <c r="A350" i="6"/>
  <c r="C349" i="6"/>
  <c r="A349" i="6"/>
  <c r="C348" i="6"/>
  <c r="A348" i="6"/>
  <c r="C347" i="6"/>
  <c r="A347" i="6"/>
  <c r="C346" i="6"/>
  <c r="A346" i="6"/>
  <c r="C345" i="6"/>
  <c r="A345" i="6"/>
  <c r="C344" i="6"/>
  <c r="A344" i="6"/>
  <c r="C343" i="6"/>
  <c r="A343" i="6"/>
  <c r="C342" i="6"/>
  <c r="A342" i="6"/>
  <c r="C341" i="6"/>
  <c r="A341" i="6"/>
  <c r="C340" i="6"/>
  <c r="A340" i="6"/>
  <c r="C339" i="6"/>
  <c r="A339" i="6"/>
  <c r="C338" i="6"/>
  <c r="A338" i="6"/>
  <c r="C337" i="6"/>
  <c r="A337" i="6"/>
  <c r="C336" i="6"/>
  <c r="A336" i="6"/>
  <c r="C335" i="6"/>
  <c r="A335" i="6"/>
  <c r="C334" i="6"/>
  <c r="A334" i="6"/>
  <c r="C333" i="6"/>
  <c r="A333" i="6"/>
  <c r="C332" i="6"/>
  <c r="A332" i="6"/>
  <c r="C331" i="6"/>
  <c r="A331" i="6"/>
  <c r="C330" i="6"/>
  <c r="A330" i="6"/>
  <c r="C329" i="6"/>
  <c r="A329" i="6"/>
  <c r="C328" i="6"/>
  <c r="A328" i="6"/>
  <c r="C327" i="6"/>
  <c r="A327" i="6"/>
  <c r="C326" i="6"/>
  <c r="A326" i="6"/>
  <c r="C325" i="6"/>
  <c r="A325" i="6"/>
  <c r="C324" i="6"/>
  <c r="A324" i="6"/>
  <c r="C323" i="6"/>
  <c r="A323" i="6"/>
  <c r="C322" i="6"/>
  <c r="A322" i="6"/>
  <c r="C321" i="6"/>
  <c r="A321" i="6"/>
  <c r="C320" i="6"/>
  <c r="A320" i="6"/>
  <c r="C319" i="6"/>
  <c r="A319" i="6"/>
  <c r="C318" i="6"/>
  <c r="A318" i="6"/>
  <c r="C317" i="6"/>
  <c r="A317" i="6"/>
  <c r="C316" i="6"/>
  <c r="A316" i="6"/>
  <c r="C315" i="6"/>
  <c r="A315" i="6"/>
  <c r="C314" i="6"/>
  <c r="A314" i="6"/>
  <c r="C313" i="6"/>
  <c r="A313" i="6"/>
  <c r="C312" i="6"/>
  <c r="A312" i="6"/>
  <c r="C311" i="6"/>
  <c r="A311" i="6"/>
  <c r="C310" i="6"/>
  <c r="A310" i="6"/>
  <c r="C309" i="6"/>
  <c r="A309" i="6"/>
  <c r="C308" i="6"/>
  <c r="A308" i="6"/>
  <c r="C307" i="6"/>
  <c r="A307" i="6"/>
  <c r="C306" i="6"/>
  <c r="A306" i="6"/>
  <c r="C305" i="6"/>
  <c r="A305" i="6"/>
  <c r="C304" i="6"/>
  <c r="A304" i="6"/>
  <c r="C303" i="6"/>
  <c r="A303" i="6"/>
  <c r="C302" i="6"/>
  <c r="A302" i="6"/>
  <c r="C301" i="6"/>
  <c r="A301" i="6"/>
  <c r="C300" i="6"/>
  <c r="A300" i="6"/>
  <c r="C299" i="6"/>
  <c r="A299" i="6"/>
  <c r="C298" i="6"/>
  <c r="A298" i="6"/>
  <c r="C297" i="6"/>
  <c r="A297" i="6"/>
  <c r="C296" i="6"/>
  <c r="A296" i="6"/>
  <c r="C295" i="6"/>
  <c r="A295" i="6"/>
  <c r="C294" i="6"/>
  <c r="A294" i="6"/>
  <c r="C293" i="6"/>
  <c r="A293" i="6"/>
  <c r="C292" i="6"/>
  <c r="A292" i="6"/>
  <c r="C291" i="6"/>
  <c r="A291" i="6"/>
  <c r="C290" i="6"/>
  <c r="A290" i="6"/>
  <c r="C289" i="6"/>
  <c r="A289" i="6"/>
  <c r="C288" i="6"/>
  <c r="A288" i="6"/>
  <c r="C287" i="6"/>
  <c r="A287" i="6"/>
  <c r="C286" i="6"/>
  <c r="A286" i="6"/>
  <c r="C285" i="6"/>
  <c r="A285" i="6"/>
  <c r="C284" i="6"/>
  <c r="A284" i="6"/>
  <c r="C283" i="6"/>
  <c r="A283" i="6"/>
  <c r="C282" i="6"/>
  <c r="A282" i="6"/>
  <c r="C281" i="6"/>
  <c r="A281" i="6"/>
  <c r="C280" i="6"/>
  <c r="A280" i="6"/>
  <c r="C279" i="6"/>
  <c r="A279" i="6"/>
  <c r="C278" i="6"/>
  <c r="A278" i="6"/>
  <c r="C277" i="6"/>
  <c r="A277" i="6"/>
  <c r="C276" i="6"/>
  <c r="A276" i="6"/>
  <c r="C275" i="6"/>
  <c r="A275" i="6"/>
  <c r="C274" i="6"/>
  <c r="A274" i="6"/>
  <c r="C273" i="6"/>
  <c r="A273" i="6"/>
  <c r="C272" i="6"/>
  <c r="A272" i="6"/>
  <c r="C271" i="6"/>
  <c r="A271" i="6"/>
  <c r="C270" i="6"/>
  <c r="A270" i="6"/>
  <c r="C269" i="6"/>
  <c r="A269" i="6"/>
  <c r="C268" i="6"/>
  <c r="A268" i="6"/>
  <c r="C267" i="6"/>
  <c r="A267" i="6"/>
  <c r="C266" i="6"/>
  <c r="A266" i="6"/>
  <c r="C265" i="6"/>
  <c r="A265" i="6"/>
  <c r="C264" i="6"/>
  <c r="A264" i="6"/>
  <c r="C263" i="6"/>
  <c r="A263" i="6"/>
  <c r="C262" i="6"/>
  <c r="A262" i="6"/>
  <c r="C261" i="6"/>
  <c r="A261" i="6"/>
  <c r="C260" i="6"/>
  <c r="A260" i="6"/>
  <c r="C259" i="6"/>
  <c r="A259" i="6"/>
  <c r="C258" i="6"/>
  <c r="A258" i="6"/>
  <c r="C257" i="6"/>
  <c r="A257" i="6"/>
  <c r="C256" i="6"/>
  <c r="A256" i="6"/>
  <c r="C255" i="6"/>
  <c r="A255" i="6"/>
  <c r="C254" i="6"/>
  <c r="A254" i="6"/>
  <c r="C253" i="6"/>
  <c r="A253" i="6"/>
  <c r="C252" i="6"/>
  <c r="A252" i="6"/>
  <c r="C251" i="6"/>
  <c r="A251" i="6"/>
  <c r="C250" i="6"/>
  <c r="A250" i="6"/>
  <c r="C249" i="6"/>
  <c r="A249" i="6"/>
  <c r="C248" i="6"/>
  <c r="A248" i="6"/>
  <c r="C247" i="6"/>
  <c r="A247" i="6"/>
  <c r="C246" i="6"/>
  <c r="A246" i="6"/>
  <c r="C245" i="6"/>
  <c r="A245" i="6"/>
  <c r="C244" i="6"/>
  <c r="A244" i="6"/>
  <c r="C243" i="6"/>
  <c r="A243" i="6"/>
  <c r="C242" i="6"/>
  <c r="A242" i="6"/>
  <c r="C241" i="6"/>
  <c r="A241" i="6"/>
  <c r="C240" i="6"/>
  <c r="A240" i="6"/>
  <c r="C239" i="6"/>
  <c r="A239" i="6"/>
  <c r="C238" i="6"/>
  <c r="A238" i="6"/>
  <c r="C237" i="6"/>
  <c r="A237" i="6"/>
  <c r="C236" i="6"/>
  <c r="A236" i="6"/>
  <c r="C235" i="6"/>
  <c r="A235" i="6"/>
  <c r="C234" i="6"/>
  <c r="A234" i="6"/>
  <c r="C233" i="6"/>
  <c r="A233" i="6"/>
  <c r="C232" i="6"/>
  <c r="A232" i="6"/>
  <c r="C231" i="6"/>
  <c r="A231" i="6"/>
  <c r="C230" i="6"/>
  <c r="A230" i="6"/>
  <c r="C229" i="6"/>
  <c r="A229" i="6"/>
  <c r="C228" i="6"/>
  <c r="A228" i="6"/>
  <c r="C227" i="6"/>
  <c r="A227" i="6"/>
  <c r="C226" i="6"/>
  <c r="A226" i="6"/>
  <c r="C225" i="6"/>
  <c r="A225" i="6"/>
  <c r="C224" i="6"/>
  <c r="A224" i="6"/>
  <c r="C223" i="6"/>
  <c r="A223" i="6"/>
  <c r="C222" i="6"/>
  <c r="A222" i="6"/>
  <c r="C221" i="6"/>
  <c r="A221" i="6"/>
  <c r="C220" i="6"/>
  <c r="A220" i="6"/>
  <c r="C219" i="6"/>
  <c r="A219" i="6"/>
  <c r="C218" i="6"/>
  <c r="A218" i="6"/>
  <c r="C217" i="6"/>
  <c r="A217" i="6"/>
  <c r="C216" i="6"/>
  <c r="A216" i="6"/>
  <c r="C215" i="6"/>
  <c r="A215" i="6"/>
  <c r="C214" i="6"/>
  <c r="A214" i="6"/>
  <c r="C213" i="6"/>
  <c r="A213" i="6"/>
  <c r="C212" i="6"/>
  <c r="A212" i="6"/>
  <c r="C211" i="6"/>
  <c r="A211" i="6"/>
  <c r="C210" i="6"/>
  <c r="A210" i="6"/>
  <c r="C209" i="6"/>
  <c r="A209" i="6"/>
  <c r="C208" i="6"/>
  <c r="A208" i="6"/>
  <c r="C207" i="6"/>
  <c r="A207" i="6"/>
  <c r="C206" i="6"/>
  <c r="A206" i="6"/>
  <c r="C205" i="6"/>
  <c r="A205" i="6"/>
  <c r="C204" i="6"/>
  <c r="A204" i="6"/>
  <c r="C203" i="6"/>
  <c r="A203" i="6"/>
  <c r="C202" i="6"/>
  <c r="A202" i="6"/>
  <c r="C201" i="6"/>
  <c r="A201" i="6"/>
  <c r="C200" i="6"/>
  <c r="A200" i="6"/>
  <c r="C199" i="6"/>
  <c r="A199" i="6"/>
  <c r="C198" i="6"/>
  <c r="A198" i="6"/>
  <c r="C197" i="6"/>
  <c r="A197" i="6"/>
  <c r="C196" i="6"/>
  <c r="A196" i="6"/>
  <c r="C195" i="6"/>
  <c r="A195" i="6"/>
  <c r="C194" i="6"/>
  <c r="A194" i="6"/>
  <c r="C193" i="6"/>
  <c r="A193" i="6"/>
  <c r="C192" i="6"/>
  <c r="A192" i="6"/>
  <c r="C191" i="6"/>
  <c r="A191" i="6"/>
  <c r="C190" i="6"/>
  <c r="A190" i="6"/>
  <c r="C189" i="6"/>
  <c r="A189" i="6"/>
  <c r="C188" i="6"/>
  <c r="A188" i="6"/>
  <c r="C187" i="6"/>
  <c r="A187" i="6"/>
  <c r="C186" i="6"/>
  <c r="A186" i="6"/>
  <c r="C185" i="6"/>
  <c r="A185" i="6"/>
  <c r="C184" i="6"/>
  <c r="A184" i="6"/>
  <c r="C183" i="6"/>
  <c r="A183" i="6"/>
  <c r="C182" i="6"/>
  <c r="A182" i="6"/>
  <c r="C181" i="6"/>
  <c r="A181" i="6"/>
  <c r="C180" i="6"/>
  <c r="A180" i="6"/>
  <c r="C179" i="6"/>
  <c r="A179" i="6"/>
  <c r="C178" i="6"/>
  <c r="A178" i="6"/>
  <c r="C177" i="6"/>
  <c r="A177" i="6"/>
  <c r="C176" i="6"/>
  <c r="A176" i="6"/>
  <c r="C175" i="6"/>
  <c r="A175" i="6"/>
  <c r="C174" i="6"/>
  <c r="A174" i="6"/>
  <c r="C173" i="6"/>
  <c r="A173" i="6"/>
  <c r="C172" i="6"/>
  <c r="A172" i="6"/>
  <c r="C171" i="6"/>
  <c r="A171" i="6"/>
  <c r="C170" i="6"/>
  <c r="A170" i="6"/>
  <c r="C169" i="6"/>
  <c r="A169" i="6"/>
  <c r="C168" i="6"/>
  <c r="A168" i="6"/>
  <c r="C167" i="6"/>
  <c r="A167" i="6"/>
  <c r="C166" i="6"/>
  <c r="A166" i="6"/>
  <c r="C165" i="6"/>
  <c r="A165" i="6"/>
  <c r="C164" i="6"/>
  <c r="A164" i="6"/>
  <c r="C163" i="6"/>
  <c r="A163" i="6"/>
  <c r="C162" i="6"/>
  <c r="A162" i="6"/>
  <c r="C161" i="6"/>
  <c r="A161" i="6"/>
  <c r="C160" i="6"/>
  <c r="A160" i="6"/>
  <c r="C159" i="6"/>
  <c r="A159" i="6"/>
  <c r="C158" i="6"/>
  <c r="A158" i="6"/>
  <c r="C157" i="6"/>
  <c r="A157" i="6"/>
  <c r="C156" i="6"/>
  <c r="A156" i="6"/>
  <c r="C155" i="6"/>
  <c r="A155" i="6"/>
  <c r="C154" i="6"/>
  <c r="A154" i="6"/>
  <c r="C153" i="6"/>
  <c r="A153" i="6"/>
  <c r="C152" i="6"/>
  <c r="A152" i="6"/>
  <c r="C151" i="6"/>
  <c r="A151" i="6"/>
  <c r="C150" i="6"/>
  <c r="A150" i="6"/>
  <c r="C149" i="6"/>
  <c r="A149" i="6"/>
  <c r="C148" i="6"/>
  <c r="A148" i="6"/>
  <c r="C147" i="6"/>
  <c r="A147" i="6"/>
  <c r="C146" i="6"/>
  <c r="A146" i="6"/>
  <c r="C145" i="6"/>
  <c r="A145" i="6"/>
  <c r="C144" i="6"/>
  <c r="A144" i="6"/>
  <c r="C143" i="6"/>
  <c r="A143" i="6"/>
  <c r="C142" i="6"/>
  <c r="A142" i="6"/>
  <c r="C141" i="6"/>
  <c r="A141" i="6"/>
  <c r="C140" i="6"/>
  <c r="A140" i="6"/>
  <c r="C139" i="6"/>
  <c r="A139" i="6"/>
  <c r="C138" i="6"/>
  <c r="A138" i="6"/>
  <c r="C137" i="6"/>
  <c r="A137" i="6"/>
  <c r="C136" i="6"/>
  <c r="A136" i="6"/>
  <c r="C135" i="6"/>
  <c r="A135" i="6"/>
  <c r="C134" i="6"/>
  <c r="A134" i="6"/>
  <c r="C133" i="6"/>
  <c r="A133" i="6"/>
  <c r="C132" i="6"/>
  <c r="A132" i="6"/>
  <c r="C131" i="6"/>
  <c r="A131" i="6"/>
  <c r="C130" i="6"/>
  <c r="A130" i="6"/>
  <c r="C129" i="6"/>
  <c r="A129" i="6"/>
  <c r="C128" i="6"/>
  <c r="A128" i="6"/>
  <c r="C127" i="6"/>
  <c r="A127" i="6"/>
  <c r="C126" i="6"/>
  <c r="A126" i="6"/>
  <c r="C125" i="6"/>
  <c r="A125" i="6"/>
  <c r="C124" i="6"/>
  <c r="A124" i="6"/>
  <c r="C123" i="6"/>
  <c r="A123" i="6"/>
  <c r="C122" i="6"/>
  <c r="A122" i="6"/>
  <c r="C121" i="6"/>
  <c r="A121" i="6"/>
  <c r="C120" i="6"/>
  <c r="A120" i="6"/>
  <c r="C119" i="6"/>
  <c r="A119" i="6"/>
  <c r="C118" i="6"/>
  <c r="A118" i="6"/>
  <c r="C117" i="6"/>
  <c r="A117" i="6"/>
  <c r="C116" i="6"/>
  <c r="A116" i="6"/>
  <c r="C115" i="6"/>
  <c r="A115" i="6"/>
  <c r="C114" i="6"/>
  <c r="A114" i="6"/>
  <c r="C113" i="6"/>
  <c r="A113" i="6"/>
  <c r="C112" i="6"/>
  <c r="A112" i="6"/>
  <c r="C111" i="6"/>
  <c r="A111" i="6"/>
  <c r="C110" i="6"/>
  <c r="A110" i="6"/>
  <c r="C109" i="6"/>
  <c r="A109" i="6"/>
  <c r="C108" i="6"/>
  <c r="A108" i="6"/>
  <c r="C107" i="6"/>
  <c r="A107" i="6"/>
  <c r="C106" i="6"/>
  <c r="A106" i="6"/>
  <c r="C105" i="6"/>
  <c r="A105" i="6"/>
  <c r="C104" i="6"/>
  <c r="A104" i="6"/>
  <c r="C103" i="6"/>
  <c r="A103" i="6"/>
  <c r="C102" i="6"/>
  <c r="A102" i="6"/>
  <c r="C101" i="6"/>
  <c r="A101" i="6"/>
  <c r="C100" i="6"/>
  <c r="A100" i="6"/>
  <c r="C99" i="6"/>
  <c r="A99" i="6"/>
  <c r="C98" i="6"/>
  <c r="A98" i="6"/>
  <c r="C97" i="6"/>
  <c r="A97" i="6"/>
  <c r="C96" i="6"/>
  <c r="A96" i="6"/>
  <c r="C95" i="6"/>
  <c r="A95" i="6"/>
  <c r="C94" i="6"/>
  <c r="A94" i="6"/>
  <c r="C93" i="6"/>
  <c r="A93" i="6"/>
  <c r="C92" i="6"/>
  <c r="A92" i="6"/>
  <c r="C91" i="6"/>
  <c r="A91" i="6"/>
  <c r="C90" i="6"/>
  <c r="A90" i="6"/>
  <c r="C89" i="6"/>
  <c r="A89" i="6"/>
  <c r="C88" i="6"/>
  <c r="A88" i="6"/>
  <c r="C87" i="6"/>
  <c r="A87" i="6"/>
  <c r="C86" i="6"/>
  <c r="A86" i="6"/>
  <c r="C85" i="6"/>
  <c r="A85" i="6"/>
  <c r="C84" i="6"/>
  <c r="A84" i="6"/>
  <c r="C83" i="6"/>
  <c r="A83" i="6"/>
  <c r="C82" i="6"/>
  <c r="A82" i="6"/>
  <c r="C81" i="6"/>
  <c r="A81" i="6"/>
  <c r="C80" i="6"/>
  <c r="A80" i="6"/>
  <c r="C79" i="6"/>
  <c r="A79" i="6"/>
  <c r="C78" i="6"/>
  <c r="A78" i="6"/>
  <c r="C77" i="6"/>
  <c r="A77" i="6"/>
  <c r="C76" i="6"/>
  <c r="A76" i="6"/>
  <c r="C75" i="6"/>
  <c r="A75" i="6"/>
  <c r="C74" i="6"/>
  <c r="A74" i="6"/>
  <c r="C73" i="6"/>
  <c r="A73" i="6"/>
  <c r="C72" i="6"/>
  <c r="A72" i="6"/>
  <c r="C71" i="6"/>
  <c r="A71" i="6"/>
  <c r="C70" i="6"/>
  <c r="A70" i="6"/>
  <c r="C69" i="6"/>
  <c r="A69" i="6"/>
  <c r="C68" i="6"/>
  <c r="A68" i="6"/>
  <c r="C67" i="6"/>
  <c r="A67" i="6"/>
  <c r="C66" i="6"/>
  <c r="A66" i="6"/>
  <c r="C65" i="6"/>
  <c r="A65" i="6"/>
  <c r="C64" i="6"/>
  <c r="A64" i="6"/>
  <c r="C63" i="6"/>
  <c r="A63" i="6"/>
  <c r="C62" i="6"/>
  <c r="A62" i="6"/>
  <c r="C61" i="6"/>
  <c r="A61" i="6"/>
  <c r="C60" i="6"/>
  <c r="A60" i="6"/>
  <c r="C59" i="6"/>
  <c r="A59" i="6"/>
  <c r="C58" i="6"/>
  <c r="A58" i="6"/>
  <c r="C57" i="6"/>
  <c r="A57" i="6"/>
  <c r="C56" i="6"/>
  <c r="A56" i="6"/>
  <c r="C55" i="6"/>
  <c r="A55" i="6"/>
  <c r="C54" i="6"/>
  <c r="A54" i="6"/>
  <c r="C53" i="6"/>
  <c r="A53" i="6"/>
  <c r="C52" i="6"/>
  <c r="A52" i="6"/>
  <c r="C51" i="6"/>
  <c r="A51" i="6"/>
  <c r="C50" i="6"/>
  <c r="A50" i="6"/>
  <c r="C49" i="6"/>
  <c r="A49" i="6"/>
  <c r="C48" i="6"/>
  <c r="A48" i="6"/>
  <c r="C47" i="6"/>
  <c r="A47" i="6"/>
  <c r="C46" i="6"/>
  <c r="A46" i="6"/>
  <c r="C45" i="6"/>
  <c r="A45" i="6"/>
  <c r="C44" i="6"/>
  <c r="A44" i="6"/>
  <c r="C43" i="6"/>
  <c r="A43" i="6"/>
  <c r="C42" i="6"/>
  <c r="A42" i="6"/>
  <c r="C41" i="6"/>
  <c r="A41" i="6"/>
  <c r="C40" i="6"/>
  <c r="A40" i="6"/>
  <c r="C39" i="6"/>
  <c r="A39" i="6"/>
  <c r="C38" i="6"/>
  <c r="A38" i="6"/>
  <c r="C37" i="6"/>
  <c r="A37" i="6"/>
  <c r="C36" i="6"/>
  <c r="A36" i="6"/>
  <c r="C35" i="6"/>
  <c r="A35" i="6"/>
  <c r="C34" i="6"/>
  <c r="A34" i="6"/>
  <c r="C33" i="6"/>
  <c r="A33" i="6"/>
  <c r="C32" i="6"/>
  <c r="A32" i="6"/>
  <c r="C31" i="6"/>
  <c r="A31" i="6"/>
  <c r="C30" i="6"/>
  <c r="A30" i="6"/>
  <c r="C29" i="6"/>
  <c r="A29" i="6"/>
  <c r="C28" i="6"/>
  <c r="A28" i="6"/>
  <c r="C27" i="6"/>
  <c r="A27" i="6"/>
  <c r="C26" i="6"/>
  <c r="A26" i="6"/>
  <c r="C25" i="6"/>
  <c r="A25" i="6"/>
  <c r="C24" i="6"/>
  <c r="A24" i="6"/>
  <c r="C23" i="6"/>
  <c r="A23" i="6"/>
  <c r="C22" i="6"/>
  <c r="A22" i="6"/>
  <c r="C21" i="6"/>
  <c r="A21" i="6"/>
  <c r="C20" i="6"/>
  <c r="A20" i="6"/>
  <c r="C19" i="6"/>
  <c r="A19" i="6"/>
  <c r="C18" i="6"/>
  <c r="A18" i="6"/>
  <c r="C17" i="6"/>
  <c r="A17" i="6"/>
  <c r="C16" i="6"/>
  <c r="A16" i="6"/>
  <c r="C15" i="6"/>
  <c r="A15" i="6"/>
  <c r="C14" i="6"/>
  <c r="A14" i="6"/>
  <c r="C13" i="6"/>
  <c r="A13" i="6"/>
  <c r="C12" i="6"/>
  <c r="A12" i="6"/>
  <c r="C11" i="6"/>
  <c r="A11" i="6"/>
  <c r="C10" i="6"/>
  <c r="A10" i="6"/>
  <c r="C9" i="6"/>
  <c r="A9" i="6"/>
  <c r="C8" i="6"/>
  <c r="A8" i="6"/>
  <c r="C7" i="6"/>
  <c r="A7" i="6"/>
  <c r="C6" i="6"/>
  <c r="A6" i="6"/>
  <c r="C5" i="6"/>
  <c r="A5" i="6"/>
  <c r="C4" i="6"/>
  <c r="A4" i="6"/>
  <c r="C3" i="6"/>
  <c r="A3" i="6"/>
  <c r="C2" i="6"/>
  <c r="A2" i="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G18" i="4" s="1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G50" i="4" s="1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G110" i="4" s="1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G126" i="4" s="1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G142" i="4" s="1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G158" i="4" s="1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G174" i="4" s="1"/>
  <c r="E175" i="4"/>
  <c r="E176" i="4"/>
  <c r="E177" i="4"/>
  <c r="E178" i="4"/>
  <c r="E179" i="4"/>
  <c r="E180" i="4"/>
  <c r="E181" i="4"/>
  <c r="E182" i="4"/>
  <c r="G182" i="4" s="1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G214" i="4" s="1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G302" i="4" s="1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G318" i="4" s="1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G334" i="4" s="1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G366" i="4" s="1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G398" i="4" s="1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G430" i="4" s="1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G462" i="4" s="1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G502" i="4" s="1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G658" i="4" s="1"/>
  <c r="E659" i="4"/>
  <c r="E660" i="4"/>
  <c r="E661" i="4"/>
  <c r="E662" i="4"/>
  <c r="E663" i="4"/>
  <c r="E664" i="4"/>
  <c r="E665" i="4"/>
  <c r="E666" i="4"/>
  <c r="G666" i="4" s="1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G694" i="4" s="1"/>
  <c r="E695" i="4"/>
  <c r="E696" i="4"/>
  <c r="E697" i="4"/>
  <c r="E698" i="4"/>
  <c r="E699" i="4"/>
  <c r="E700" i="4"/>
  <c r="E701" i="4"/>
  <c r="E702" i="4"/>
  <c r="G702" i="4" s="1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G722" i="4" s="1"/>
  <c r="E723" i="4"/>
  <c r="E724" i="4"/>
  <c r="E725" i="4"/>
  <c r="E726" i="4"/>
  <c r="E727" i="4"/>
  <c r="E728" i="4"/>
  <c r="E729" i="4"/>
  <c r="E730" i="4"/>
  <c r="G730" i="4" s="1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G758" i="4" s="1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G794" i="4" s="1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G962" i="4" s="1"/>
  <c r="E963" i="4"/>
  <c r="E964" i="4"/>
  <c r="E965" i="4"/>
  <c r="E966" i="4"/>
  <c r="G966" i="4" s="1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G986" i="4" s="1"/>
  <c r="E987" i="4"/>
  <c r="E988" i="4"/>
  <c r="E989" i="4"/>
  <c r="E990" i="4"/>
  <c r="E991" i="4"/>
  <c r="E992" i="4"/>
  <c r="E993" i="4"/>
  <c r="E994" i="4"/>
  <c r="E995" i="4"/>
  <c r="E996" i="4"/>
  <c r="E997" i="4"/>
  <c r="E998" i="4"/>
  <c r="G998" i="4" s="1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G1018" i="4" s="1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G1030" i="4" s="1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2" i="4"/>
  <c r="G937" i="4"/>
  <c r="G933" i="4"/>
  <c r="G929" i="4"/>
  <c r="G921" i="4"/>
  <c r="G913" i="4"/>
  <c r="G909" i="4"/>
  <c r="G897" i="4"/>
  <c r="G889" i="4"/>
  <c r="G885" i="4"/>
  <c r="G881" i="4"/>
  <c r="G873" i="4"/>
  <c r="G869" i="4"/>
  <c r="G865" i="4"/>
  <c r="G857" i="4"/>
  <c r="G849" i="4"/>
  <c r="G841" i="4"/>
  <c r="G837" i="4"/>
  <c r="G833" i="4"/>
  <c r="G829" i="4"/>
  <c r="G825" i="4"/>
  <c r="G821" i="4"/>
  <c r="G817" i="4"/>
  <c r="G657" i="4"/>
  <c r="G633" i="4"/>
  <c r="G629" i="4"/>
  <c r="G625" i="4"/>
  <c r="G617" i="4"/>
  <c r="G613" i="4"/>
  <c r="G609" i="4"/>
  <c r="G601" i="4"/>
  <c r="G3" i="4"/>
  <c r="G4" i="4"/>
  <c r="G6" i="4"/>
  <c r="G7" i="4"/>
  <c r="G8" i="4"/>
  <c r="G10" i="4"/>
  <c r="G11" i="4"/>
  <c r="G12" i="4"/>
  <c r="G14" i="4"/>
  <c r="G15" i="4"/>
  <c r="G16" i="4"/>
  <c r="G19" i="4"/>
  <c r="G20" i="4"/>
  <c r="G22" i="4"/>
  <c r="G23" i="4"/>
  <c r="G24" i="4"/>
  <c r="G26" i="4"/>
  <c r="G27" i="4"/>
  <c r="G28" i="4"/>
  <c r="G30" i="4"/>
  <c r="G31" i="4"/>
  <c r="G32" i="4"/>
  <c r="G35" i="4"/>
  <c r="G36" i="4"/>
  <c r="G38" i="4"/>
  <c r="G39" i="4"/>
  <c r="G40" i="4"/>
  <c r="G42" i="4"/>
  <c r="G43" i="4"/>
  <c r="G44" i="4"/>
  <c r="G46" i="4"/>
  <c r="G47" i="4"/>
  <c r="G48" i="4"/>
  <c r="G51" i="4"/>
  <c r="G52" i="4"/>
  <c r="G54" i="4"/>
  <c r="G55" i="4"/>
  <c r="G56" i="4"/>
  <c r="G58" i="4"/>
  <c r="G59" i="4"/>
  <c r="G60" i="4"/>
  <c r="G62" i="4"/>
  <c r="G63" i="4"/>
  <c r="G64" i="4"/>
  <c r="G67" i="4"/>
  <c r="G68" i="4"/>
  <c r="G70" i="4"/>
  <c r="G71" i="4"/>
  <c r="G72" i="4"/>
  <c r="G74" i="4"/>
  <c r="G75" i="4"/>
  <c r="G76" i="4"/>
  <c r="G78" i="4"/>
  <c r="G79" i="4"/>
  <c r="G80" i="4"/>
  <c r="G83" i="4"/>
  <c r="G84" i="4"/>
  <c r="G86" i="4"/>
  <c r="G87" i="4"/>
  <c r="G88" i="4"/>
  <c r="G90" i="4"/>
  <c r="G91" i="4"/>
  <c r="G92" i="4"/>
  <c r="G94" i="4"/>
  <c r="G95" i="4"/>
  <c r="G99" i="4"/>
  <c r="G100" i="4"/>
  <c r="G96" i="4"/>
  <c r="G102" i="4"/>
  <c r="G103" i="4"/>
  <c r="G104" i="4"/>
  <c r="G106" i="4"/>
  <c r="G107" i="4"/>
  <c r="G108" i="4"/>
  <c r="G111" i="4"/>
  <c r="G112" i="4"/>
  <c r="G114" i="4"/>
  <c r="G115" i="4"/>
  <c r="G116" i="4"/>
  <c r="G118" i="4"/>
  <c r="G119" i="4"/>
  <c r="G120" i="4"/>
  <c r="G123" i="4"/>
  <c r="G124" i="4"/>
  <c r="G127" i="4"/>
  <c r="G128" i="4"/>
  <c r="G130" i="4"/>
  <c r="G131" i="4"/>
  <c r="G132" i="4"/>
  <c r="G134" i="4"/>
  <c r="G135" i="4"/>
  <c r="G136" i="4"/>
  <c r="G139" i="4"/>
  <c r="G140" i="4"/>
  <c r="G143" i="4"/>
  <c r="G144" i="4"/>
  <c r="G146" i="4"/>
  <c r="G147" i="4"/>
  <c r="G148" i="4"/>
  <c r="G150" i="4"/>
  <c r="G151" i="4"/>
  <c r="G152" i="4"/>
  <c r="G155" i="4"/>
  <c r="G156" i="4"/>
  <c r="G159" i="4"/>
  <c r="G160" i="4"/>
  <c r="G162" i="4"/>
  <c r="G163" i="4"/>
  <c r="G164" i="4"/>
  <c r="G166" i="4"/>
  <c r="G167" i="4"/>
  <c r="G168" i="4"/>
  <c r="G171" i="4"/>
  <c r="G172" i="4"/>
  <c r="G175" i="4"/>
  <c r="G176" i="4"/>
  <c r="G179" i="4"/>
  <c r="G180" i="4"/>
  <c r="G183" i="4"/>
  <c r="G184" i="4"/>
  <c r="G187" i="4"/>
  <c r="G188" i="4"/>
  <c r="G190" i="4"/>
  <c r="G191" i="4"/>
  <c r="G192" i="4"/>
  <c r="G194" i="4"/>
  <c r="G195" i="4"/>
  <c r="G196" i="4"/>
  <c r="G199" i="4"/>
  <c r="G200" i="4"/>
  <c r="G203" i="4"/>
  <c r="G204" i="4"/>
  <c r="G206" i="4"/>
  <c r="G207" i="4"/>
  <c r="G208" i="4"/>
  <c r="G210" i="4"/>
  <c r="G211" i="4"/>
  <c r="G212" i="4"/>
  <c r="G215" i="4"/>
  <c r="G216" i="4"/>
  <c r="G219" i="4"/>
  <c r="G220" i="4"/>
  <c r="G223" i="4"/>
  <c r="G224" i="4"/>
  <c r="G227" i="4"/>
  <c r="G228" i="4"/>
  <c r="G231" i="4"/>
  <c r="G232" i="4"/>
  <c r="G234" i="4"/>
  <c r="G235" i="4"/>
  <c r="G236" i="4"/>
  <c r="G238" i="4"/>
  <c r="G239" i="4"/>
  <c r="G240" i="4"/>
  <c r="G243" i="4"/>
  <c r="G244" i="4"/>
  <c r="G247" i="4"/>
  <c r="G248" i="4"/>
  <c r="G250" i="4"/>
  <c r="G251" i="4"/>
  <c r="G252" i="4"/>
  <c r="G254" i="4"/>
  <c r="G255" i="4"/>
  <c r="G256" i="4"/>
  <c r="G259" i="4"/>
  <c r="G260" i="4"/>
  <c r="G263" i="4"/>
  <c r="G264" i="4"/>
  <c r="G266" i="4"/>
  <c r="G267" i="4"/>
  <c r="G268" i="4"/>
  <c r="G270" i="4"/>
  <c r="G271" i="4"/>
  <c r="G272" i="4"/>
  <c r="G275" i="4"/>
  <c r="G276" i="4"/>
  <c r="G279" i="4"/>
  <c r="G280" i="4"/>
  <c r="G282" i="4"/>
  <c r="G283" i="4"/>
  <c r="G284" i="4"/>
  <c r="G286" i="4"/>
  <c r="G287" i="4"/>
  <c r="G288" i="4"/>
  <c r="G291" i="4"/>
  <c r="G292" i="4"/>
  <c r="G299" i="4"/>
  <c r="G295" i="4"/>
  <c r="G296" i="4"/>
  <c r="G300" i="4"/>
  <c r="G303" i="4"/>
  <c r="G304" i="4"/>
  <c r="G307" i="4"/>
  <c r="G308" i="4"/>
  <c r="G310" i="4"/>
  <c r="G311" i="4"/>
  <c r="G312" i="4"/>
  <c r="G314" i="4"/>
  <c r="G315" i="4"/>
  <c r="G316" i="4"/>
  <c r="G319" i="4"/>
  <c r="G320" i="4"/>
  <c r="G323" i="4"/>
  <c r="G324" i="4"/>
  <c r="G326" i="4"/>
  <c r="G327" i="4"/>
  <c r="G328" i="4"/>
  <c r="G330" i="4"/>
  <c r="G331" i="4"/>
  <c r="G332" i="4"/>
  <c r="G335" i="4"/>
  <c r="G336" i="4"/>
  <c r="G339" i="4"/>
  <c r="G340" i="4"/>
  <c r="G342" i="4"/>
  <c r="G343" i="4"/>
  <c r="G344" i="4"/>
  <c r="G346" i="4"/>
  <c r="G347" i="4"/>
  <c r="G348" i="4"/>
  <c r="G351" i="4"/>
  <c r="G352" i="4"/>
  <c r="G355" i="4"/>
  <c r="G356" i="4"/>
  <c r="G358" i="4"/>
  <c r="G359" i="4"/>
  <c r="G360" i="4"/>
  <c r="G362" i="4"/>
  <c r="G363" i="4"/>
  <c r="G364" i="4"/>
  <c r="G367" i="4"/>
  <c r="G368" i="4"/>
  <c r="G371" i="4"/>
  <c r="G372" i="4"/>
  <c r="G374" i="4"/>
  <c r="G375" i="4"/>
  <c r="G376" i="4"/>
  <c r="G378" i="4"/>
  <c r="G379" i="4"/>
  <c r="G380" i="4"/>
  <c r="G383" i="4"/>
  <c r="G384" i="4"/>
  <c r="G387" i="4"/>
  <c r="G388" i="4"/>
  <c r="G390" i="4"/>
  <c r="G391" i="4"/>
  <c r="G392" i="4"/>
  <c r="G394" i="4"/>
  <c r="G395" i="4"/>
  <c r="G396" i="4"/>
  <c r="G399" i="4"/>
  <c r="G400" i="4"/>
  <c r="G403" i="4"/>
  <c r="G404" i="4"/>
  <c r="G406" i="4"/>
  <c r="G407" i="4"/>
  <c r="G408" i="4"/>
  <c r="G410" i="4"/>
  <c r="G411" i="4"/>
  <c r="G412" i="4"/>
  <c r="G415" i="4"/>
  <c r="G416" i="4"/>
  <c r="G419" i="4"/>
  <c r="G420" i="4"/>
  <c r="G422" i="4"/>
  <c r="G423" i="4"/>
  <c r="G424" i="4"/>
  <c r="G426" i="4"/>
  <c r="G428" i="4"/>
  <c r="G427" i="4"/>
  <c r="G431" i="4"/>
  <c r="G432" i="4"/>
  <c r="G435" i="4"/>
  <c r="G436" i="4"/>
  <c r="G438" i="4"/>
  <c r="G439" i="4"/>
  <c r="G440" i="4"/>
  <c r="G442" i="4"/>
  <c r="G443" i="4"/>
  <c r="G444" i="4"/>
  <c r="G447" i="4"/>
  <c r="G448" i="4"/>
  <c r="G451" i="4"/>
  <c r="G452" i="4"/>
  <c r="G455" i="4"/>
  <c r="G456" i="4"/>
  <c r="G459" i="4"/>
  <c r="G460" i="4"/>
  <c r="G463" i="4"/>
  <c r="G464" i="4"/>
  <c r="G467" i="4"/>
  <c r="G468" i="4"/>
  <c r="G471" i="4"/>
  <c r="G472" i="4"/>
  <c r="G474" i="4"/>
  <c r="G475" i="4"/>
  <c r="G476" i="4"/>
  <c r="G479" i="4"/>
  <c r="G480" i="4"/>
  <c r="G483" i="4"/>
  <c r="G484" i="4"/>
  <c r="G487" i="4"/>
  <c r="G488" i="4"/>
  <c r="G491" i="4"/>
  <c r="G492" i="4"/>
  <c r="G495" i="4"/>
  <c r="G496" i="4"/>
  <c r="G499" i="4"/>
  <c r="G500" i="4"/>
  <c r="G503" i="4"/>
  <c r="G504" i="4"/>
  <c r="G506" i="4"/>
  <c r="G507" i="4"/>
  <c r="G508" i="4"/>
  <c r="G511" i="4"/>
  <c r="G512" i="4"/>
  <c r="G515" i="4"/>
  <c r="G516" i="4"/>
  <c r="G519" i="4"/>
  <c r="G520" i="4"/>
  <c r="G523" i="4"/>
  <c r="G524" i="4"/>
  <c r="G527" i="4"/>
  <c r="G528" i="4"/>
  <c r="G531" i="4"/>
  <c r="G532" i="4"/>
  <c r="G535" i="4"/>
  <c r="G536" i="4"/>
  <c r="G538" i="4"/>
  <c r="G539" i="4"/>
  <c r="G540" i="4"/>
  <c r="G543" i="4"/>
  <c r="G544" i="4"/>
  <c r="G547" i="4"/>
  <c r="G548" i="4"/>
  <c r="G551" i="4"/>
  <c r="G552" i="4"/>
  <c r="G555" i="4"/>
  <c r="G556" i="4"/>
  <c r="G559" i="4"/>
  <c r="G560" i="4"/>
  <c r="G563" i="4"/>
  <c r="G564" i="4"/>
  <c r="G567" i="4"/>
  <c r="G568" i="4"/>
  <c r="G570" i="4"/>
  <c r="G571" i="4"/>
  <c r="G572" i="4"/>
  <c r="G575" i="4"/>
  <c r="G576" i="4"/>
  <c r="G579" i="4"/>
  <c r="G580" i="4"/>
  <c r="G583" i="4"/>
  <c r="G584" i="4"/>
  <c r="G587" i="4"/>
  <c r="G588" i="4"/>
  <c r="G591" i="4"/>
  <c r="G592" i="4"/>
  <c r="G595" i="4"/>
  <c r="G596" i="4"/>
  <c r="G599" i="4"/>
  <c r="G600" i="4"/>
  <c r="G602" i="4"/>
  <c r="G603" i="4"/>
  <c r="G604" i="4"/>
  <c r="G607" i="4"/>
  <c r="G608" i="4"/>
  <c r="G611" i="4"/>
  <c r="G612" i="4"/>
  <c r="G615" i="4"/>
  <c r="G616" i="4"/>
  <c r="G619" i="4"/>
  <c r="G620" i="4"/>
  <c r="G623" i="4"/>
  <c r="G624" i="4"/>
  <c r="G627" i="4"/>
  <c r="G628" i="4"/>
  <c r="G631" i="4"/>
  <c r="G632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9" i="4"/>
  <c r="G660" i="4"/>
  <c r="G661" i="4"/>
  <c r="G663" i="4"/>
  <c r="G664" i="4"/>
  <c r="G665" i="4"/>
  <c r="G667" i="4"/>
  <c r="G668" i="4"/>
  <c r="G669" i="4"/>
  <c r="G671" i="4"/>
  <c r="G672" i="4"/>
  <c r="G673" i="4"/>
  <c r="G675" i="4"/>
  <c r="G676" i="4"/>
  <c r="G677" i="4"/>
  <c r="G679" i="4"/>
  <c r="G680" i="4"/>
  <c r="G681" i="4"/>
  <c r="G683" i="4"/>
  <c r="G684" i="4"/>
  <c r="G685" i="4"/>
  <c r="G687" i="4"/>
  <c r="G688" i="4"/>
  <c r="G689" i="4"/>
  <c r="G691" i="4"/>
  <c r="G692" i="4"/>
  <c r="G693" i="4"/>
  <c r="G695" i="4"/>
  <c r="G696" i="4"/>
  <c r="G697" i="4"/>
  <c r="G699" i="4"/>
  <c r="G700" i="4"/>
  <c r="G701" i="4"/>
  <c r="G703" i="4"/>
  <c r="G704" i="4"/>
  <c r="G705" i="4"/>
  <c r="G707" i="4"/>
  <c r="G708" i="4"/>
  <c r="G709" i="4"/>
  <c r="G711" i="4"/>
  <c r="G712" i="4"/>
  <c r="G713" i="4"/>
  <c r="G715" i="4"/>
  <c r="G716" i="4"/>
  <c r="G717" i="4"/>
  <c r="G719" i="4"/>
  <c r="G720" i="4"/>
  <c r="G721" i="4"/>
  <c r="G723" i="4"/>
  <c r="G724" i="4"/>
  <c r="G725" i="4"/>
  <c r="G727" i="4"/>
  <c r="G728" i="4"/>
  <c r="G729" i="4"/>
  <c r="G731" i="4"/>
  <c r="G732" i="4"/>
  <c r="G733" i="4"/>
  <c r="G735" i="4"/>
  <c r="G736" i="4"/>
  <c r="G737" i="4"/>
  <c r="G739" i="4"/>
  <c r="G740" i="4"/>
  <c r="G741" i="4"/>
  <c r="G743" i="4"/>
  <c r="G744" i="4"/>
  <c r="G745" i="4"/>
  <c r="G747" i="4"/>
  <c r="G748" i="4"/>
  <c r="G749" i="4"/>
  <c r="G751" i="4"/>
  <c r="G752" i="4"/>
  <c r="G753" i="4"/>
  <c r="G755" i="4"/>
  <c r="G756" i="4"/>
  <c r="G757" i="4"/>
  <c r="G759" i="4"/>
  <c r="G760" i="4"/>
  <c r="G761" i="4"/>
  <c r="G763" i="4"/>
  <c r="G764" i="4"/>
  <c r="G765" i="4"/>
  <c r="G767" i="4"/>
  <c r="G768" i="4"/>
  <c r="G769" i="4"/>
  <c r="G771" i="4"/>
  <c r="G772" i="4"/>
  <c r="G773" i="4"/>
  <c r="G775" i="4"/>
  <c r="G776" i="4"/>
  <c r="G777" i="4"/>
  <c r="G779" i="4"/>
  <c r="G780" i="4"/>
  <c r="G781" i="4"/>
  <c r="G783" i="4"/>
  <c r="G784" i="4"/>
  <c r="G785" i="4"/>
  <c r="G787" i="4"/>
  <c r="G788" i="4"/>
  <c r="G789" i="4"/>
  <c r="G791" i="4"/>
  <c r="G792" i="4"/>
  <c r="G793" i="4"/>
  <c r="G795" i="4"/>
  <c r="G796" i="4"/>
  <c r="G797" i="4"/>
  <c r="G799" i="4"/>
  <c r="G800" i="4"/>
  <c r="G801" i="4"/>
  <c r="G803" i="4"/>
  <c r="G804" i="4"/>
  <c r="G805" i="4"/>
  <c r="G807" i="4"/>
  <c r="G808" i="4"/>
  <c r="G809" i="4"/>
  <c r="G811" i="4"/>
  <c r="G812" i="4"/>
  <c r="G813" i="4"/>
  <c r="G815" i="4"/>
  <c r="G816" i="4"/>
  <c r="G819" i="4"/>
  <c r="G820" i="4"/>
  <c r="G823" i="4"/>
  <c r="G826" i="4"/>
  <c r="G824" i="4"/>
  <c r="G827" i="4"/>
  <c r="G828" i="4"/>
  <c r="G831" i="4"/>
  <c r="G832" i="4"/>
  <c r="G835" i="4"/>
  <c r="G836" i="4"/>
  <c r="G838" i="4"/>
  <c r="G839" i="4"/>
  <c r="G840" i="4"/>
  <c r="G844" i="4"/>
  <c r="G843" i="4"/>
  <c r="G847" i="4"/>
  <c r="G848" i="4"/>
  <c r="G851" i="4"/>
  <c r="G852" i="4"/>
  <c r="G855" i="4"/>
  <c r="G856" i="4"/>
  <c r="G859" i="4"/>
  <c r="G860" i="4"/>
  <c r="G867" i="4"/>
  <c r="G863" i="4"/>
  <c r="G864" i="4"/>
  <c r="G868" i="4"/>
  <c r="G870" i="4"/>
  <c r="G871" i="4"/>
  <c r="G872" i="4"/>
  <c r="G875" i="4"/>
  <c r="G876" i="4"/>
  <c r="G879" i="4"/>
  <c r="G882" i="4"/>
  <c r="G883" i="4"/>
  <c r="G884" i="4"/>
  <c r="G880" i="4"/>
  <c r="G886" i="4"/>
  <c r="G887" i="4"/>
  <c r="G888" i="4"/>
  <c r="G892" i="4"/>
  <c r="G890" i="4"/>
  <c r="G891" i="4"/>
  <c r="G893" i="4"/>
  <c r="G895" i="4"/>
  <c r="G899" i="4"/>
  <c r="G896" i="4"/>
  <c r="G900" i="4"/>
  <c r="G903" i="4"/>
  <c r="G904" i="4"/>
  <c r="G911" i="4"/>
  <c r="G912" i="4"/>
  <c r="G907" i="4"/>
  <c r="G908" i="4"/>
  <c r="G915" i="4"/>
  <c r="G916" i="4"/>
  <c r="G920" i="4"/>
  <c r="G919" i="4"/>
  <c r="G922" i="4"/>
  <c r="G923" i="4"/>
  <c r="G924" i="4"/>
  <c r="G927" i="4"/>
  <c r="G928" i="4"/>
  <c r="G931" i="4"/>
  <c r="G932" i="4"/>
  <c r="G935" i="4"/>
  <c r="G936" i="4"/>
  <c r="G939" i="4"/>
  <c r="G940" i="4"/>
  <c r="G943" i="4"/>
  <c r="G944" i="4"/>
  <c r="G945" i="4"/>
  <c r="G947" i="4"/>
  <c r="G948" i="4"/>
  <c r="G949" i="4"/>
  <c r="G951" i="4"/>
  <c r="G952" i="4"/>
  <c r="G953" i="4"/>
  <c r="G955" i="4"/>
  <c r="G956" i="4"/>
  <c r="G957" i="4"/>
  <c r="G959" i="4"/>
  <c r="G960" i="4"/>
  <c r="G961" i="4"/>
  <c r="G963" i="4"/>
  <c r="G964" i="4"/>
  <c r="G965" i="4"/>
  <c r="G967" i="4"/>
  <c r="G968" i="4"/>
  <c r="G969" i="4"/>
  <c r="G971" i="4"/>
  <c r="G972" i="4"/>
  <c r="G973" i="4"/>
  <c r="G975" i="4"/>
  <c r="G976" i="4"/>
  <c r="G977" i="4"/>
  <c r="G979" i="4"/>
  <c r="G980" i="4"/>
  <c r="G981" i="4"/>
  <c r="G983" i="4"/>
  <c r="G984" i="4"/>
  <c r="G985" i="4"/>
  <c r="G987" i="4"/>
  <c r="G988" i="4"/>
  <c r="G989" i="4"/>
  <c r="G991" i="4"/>
  <c r="G992" i="4"/>
  <c r="G993" i="4"/>
  <c r="G995" i="4"/>
  <c r="G996" i="4"/>
  <c r="G997" i="4"/>
  <c r="G999" i="4"/>
  <c r="G1000" i="4"/>
  <c r="G1001" i="4"/>
  <c r="G1003" i="4"/>
  <c r="G1004" i="4"/>
  <c r="G1005" i="4"/>
  <c r="G1007" i="4"/>
  <c r="G1008" i="4"/>
  <c r="G1009" i="4"/>
  <c r="G1011" i="4"/>
  <c r="G1012" i="4"/>
  <c r="G1013" i="4"/>
  <c r="G1015" i="4"/>
  <c r="G1016" i="4"/>
  <c r="G1017" i="4"/>
  <c r="G1019" i="4"/>
  <c r="G1020" i="4"/>
  <c r="G1021" i="4"/>
  <c r="G1023" i="4"/>
  <c r="G1024" i="4"/>
  <c r="G1025" i="4"/>
  <c r="G1027" i="4"/>
  <c r="G1028" i="4"/>
  <c r="G1029" i="4"/>
  <c r="G1031" i="4"/>
  <c r="G1032" i="4"/>
  <c r="G1033" i="4"/>
  <c r="G1035" i="4"/>
  <c r="G1036" i="4"/>
  <c r="G1037" i="4"/>
  <c r="G1039" i="4"/>
  <c r="G1040" i="4"/>
  <c r="G1041" i="4"/>
  <c r="G1043" i="4"/>
  <c r="G1044" i="4"/>
  <c r="G1045" i="4"/>
  <c r="G1047" i="4"/>
  <c r="G1048" i="4"/>
  <c r="G1049" i="4"/>
  <c r="G1051" i="4"/>
  <c r="G1052" i="4"/>
  <c r="G1053" i="4"/>
  <c r="G1055" i="4"/>
  <c r="G1056" i="4"/>
  <c r="G1057" i="4"/>
  <c r="G1059" i="4"/>
  <c r="G1060" i="4"/>
  <c r="G1061" i="4"/>
  <c r="G1063" i="4"/>
  <c r="G1064" i="4"/>
  <c r="G1065" i="4"/>
  <c r="G1067" i="4"/>
  <c r="G1068" i="4"/>
  <c r="G1069" i="4"/>
  <c r="G1071" i="4"/>
  <c r="G1072" i="4"/>
  <c r="G1073" i="4"/>
  <c r="G1075" i="4"/>
  <c r="G1076" i="4"/>
  <c r="G1077" i="4"/>
  <c r="G1079" i="4"/>
  <c r="G1080" i="4"/>
  <c r="G1081" i="4"/>
  <c r="G1083" i="4"/>
  <c r="G1084" i="4"/>
  <c r="G1085" i="4"/>
  <c r="G1087" i="4"/>
  <c r="G1088" i="4"/>
  <c r="G1089" i="4"/>
  <c r="G1091" i="4"/>
  <c r="G1092" i="4"/>
  <c r="G1093" i="4"/>
  <c r="G1095" i="4"/>
  <c r="G1096" i="4"/>
  <c r="G1097" i="4"/>
  <c r="G1099" i="4"/>
  <c r="G1100" i="4"/>
  <c r="G1101" i="4"/>
  <c r="G1103" i="4"/>
  <c r="G1104" i="4"/>
  <c r="G1105" i="4"/>
  <c r="G1107" i="4"/>
  <c r="G1108" i="4"/>
  <c r="G1109" i="4"/>
  <c r="G1111" i="4"/>
  <c r="G1112" i="4"/>
  <c r="G1113" i="4"/>
  <c r="G1115" i="4"/>
  <c r="G1116" i="4"/>
  <c r="G1117" i="4"/>
  <c r="G1119" i="4"/>
  <c r="G1120" i="4"/>
  <c r="G1121" i="4"/>
  <c r="G1123" i="4"/>
  <c r="G1124" i="4"/>
  <c r="G2" i="4"/>
  <c r="D2" i="6" l="1" a="1"/>
  <c r="D2" i="6" s="1"/>
  <c r="B2" i="6" a="1"/>
  <c r="B2" i="6" s="1"/>
  <c r="G934" i="4"/>
  <c r="G918" i="4"/>
  <c r="G910" i="4"/>
  <c r="G834" i="4"/>
  <c r="G742" i="4"/>
  <c r="G738" i="4"/>
  <c r="G714" i="4"/>
  <c r="G706" i="4"/>
  <c r="G698" i="4"/>
  <c r="G686" i="4"/>
  <c r="G626" i="4"/>
  <c r="G622" i="4"/>
  <c r="G610" i="4"/>
  <c r="G590" i="4"/>
  <c r="G578" i="4"/>
  <c r="G558" i="4"/>
  <c r="G514" i="4"/>
  <c r="G494" i="4"/>
  <c r="G478" i="4"/>
  <c r="G582" i="4"/>
  <c r="G550" i="4"/>
  <c r="G518" i="4"/>
  <c r="G486" i="4"/>
  <c r="G454" i="4"/>
  <c r="G902" i="4"/>
  <c r="G830" i="4"/>
  <c r="G822" i="4"/>
  <c r="G718" i="4"/>
  <c r="G690" i="4"/>
  <c r="G678" i="4"/>
  <c r="G670" i="4"/>
  <c r="G606" i="4"/>
  <c r="G594" i="4"/>
  <c r="G546" i="4"/>
  <c r="G542" i="4"/>
  <c r="G530" i="4"/>
  <c r="G482" i="4"/>
  <c r="G450" i="4"/>
  <c r="G938" i="4"/>
  <c r="G926" i="4"/>
  <c r="G878" i="4"/>
  <c r="G842" i="4"/>
  <c r="G1122" i="4"/>
  <c r="G1118" i="4"/>
  <c r="G1114" i="4"/>
  <c r="G1110" i="4"/>
  <c r="G1106" i="4"/>
  <c r="G1102" i="4"/>
  <c r="G1098" i="4"/>
  <c r="G1094" i="4"/>
  <c r="G1090" i="4"/>
  <c r="G1086" i="4"/>
  <c r="G1082" i="4"/>
  <c r="G1078" i="4"/>
  <c r="G1074" i="4"/>
  <c r="G1070" i="4"/>
  <c r="G1066" i="4"/>
  <c r="G1062" i="4"/>
  <c r="G1058" i="4"/>
  <c r="G1054" i="4"/>
  <c r="G1050" i="4"/>
  <c r="G1046" i="4"/>
  <c r="G1042" i="4"/>
  <c r="G1038" i="4"/>
  <c r="G1034" i="4"/>
  <c r="G1026" i="4"/>
  <c r="G1022" i="4"/>
  <c r="G1014" i="4"/>
  <c r="G1010" i="4"/>
  <c r="G1006" i="4"/>
  <c r="G1002" i="4"/>
  <c r="G994" i="4"/>
  <c r="G990" i="4"/>
  <c r="G982" i="4"/>
  <c r="G978" i="4"/>
  <c r="G974" i="4"/>
  <c r="G970" i="4"/>
  <c r="G958" i="4"/>
  <c r="G954" i="4"/>
  <c r="G950" i="4"/>
  <c r="G946" i="4"/>
  <c r="G942" i="4"/>
  <c r="G930" i="4"/>
  <c r="G906" i="4"/>
  <c r="G862" i="4"/>
  <c r="G850" i="4"/>
  <c r="G846" i="4"/>
  <c r="G814" i="4"/>
  <c r="G618" i="4"/>
  <c r="G586" i="4"/>
  <c r="G554" i="4"/>
  <c r="G522" i="4"/>
  <c r="G490" i="4"/>
  <c r="G458" i="4"/>
  <c r="G898" i="4"/>
  <c r="G734" i="4"/>
  <c r="G726" i="4"/>
  <c r="G710" i="4"/>
  <c r="G682" i="4"/>
  <c r="G674" i="4"/>
  <c r="G662" i="4"/>
  <c r="G574" i="4"/>
  <c r="G562" i="4"/>
  <c r="G526" i="4"/>
  <c r="G510" i="4"/>
  <c r="G498" i="4"/>
  <c r="G466" i="4"/>
  <c r="G446" i="4"/>
  <c r="G914" i="4"/>
  <c r="G894" i="4"/>
  <c r="G874" i="4"/>
  <c r="G866" i="4"/>
  <c r="G858" i="4"/>
  <c r="G854" i="4"/>
  <c r="G614" i="4"/>
  <c r="G818" i="4"/>
  <c r="G810" i="4"/>
  <c r="G806" i="4"/>
  <c r="G802" i="4"/>
  <c r="G798" i="4"/>
  <c r="G790" i="4"/>
  <c r="G786" i="4"/>
  <c r="G782" i="4"/>
  <c r="G778" i="4"/>
  <c r="G774" i="4"/>
  <c r="G770" i="4"/>
  <c r="G766" i="4"/>
  <c r="G762" i="4"/>
  <c r="G754" i="4"/>
  <c r="G750" i="4"/>
  <c r="G746" i="4"/>
  <c r="G630" i="4"/>
  <c r="G598" i="4"/>
  <c r="G566" i="4"/>
  <c r="G534" i="4"/>
  <c r="G470" i="4"/>
  <c r="G98" i="4"/>
  <c r="G222" i="4"/>
  <c r="G414" i="4"/>
  <c r="G382" i="4"/>
  <c r="G350" i="4"/>
  <c r="G290" i="4"/>
  <c r="G274" i="4"/>
  <c r="G258" i="4"/>
  <c r="G242" i="4"/>
  <c r="G226" i="4"/>
  <c r="G198" i="4"/>
  <c r="G170" i="4"/>
  <c r="G154" i="4"/>
  <c r="G138" i="4"/>
  <c r="G122" i="4"/>
  <c r="G434" i="4"/>
  <c r="G418" i="4"/>
  <c r="G402" i="4"/>
  <c r="G386" i="4"/>
  <c r="G370" i="4"/>
  <c r="G354" i="4"/>
  <c r="G338" i="4"/>
  <c r="G322" i="4"/>
  <c r="G306" i="4"/>
  <c r="G294" i="4"/>
  <c r="G278" i="4"/>
  <c r="G262" i="4"/>
  <c r="G246" i="4"/>
  <c r="G230" i="4"/>
  <c r="G218" i="4"/>
  <c r="G202" i="4"/>
  <c r="G186" i="4"/>
  <c r="G82" i="4"/>
  <c r="G66" i="4"/>
  <c r="G34" i="4"/>
  <c r="G9" i="4"/>
  <c r="G21" i="4"/>
  <c r="G33" i="4"/>
  <c r="G53" i="4"/>
  <c r="G65" i="4"/>
  <c r="G77" i="4"/>
  <c r="G89" i="4"/>
  <c r="G101" i="4"/>
  <c r="G113" i="4"/>
  <c r="G125" i="4"/>
  <c r="G145" i="4"/>
  <c r="G157" i="4"/>
  <c r="G169" i="4"/>
  <c r="G181" i="4"/>
  <c r="G197" i="4"/>
  <c r="G213" i="4"/>
  <c r="G225" i="4"/>
  <c r="G237" i="4"/>
  <c r="G249" i="4"/>
  <c r="G269" i="4"/>
  <c r="G281" i="4"/>
  <c r="G289" i="4"/>
  <c r="G301" i="4"/>
  <c r="G313" i="4"/>
  <c r="G325" i="4"/>
  <c r="G341" i="4"/>
  <c r="G357" i="4"/>
  <c r="G369" i="4"/>
  <c r="G381" i="4"/>
  <c r="G393" i="4"/>
  <c r="G409" i="4"/>
  <c r="G421" i="4"/>
  <c r="G437" i="4"/>
  <c r="G449" i="4"/>
  <c r="G465" i="4"/>
  <c r="G477" i="4"/>
  <c r="G489" i="4"/>
  <c r="G501" i="4"/>
  <c r="G13" i="4"/>
  <c r="G25" i="4"/>
  <c r="G37" i="4"/>
  <c r="G49" i="4"/>
  <c r="G61" i="4"/>
  <c r="G73" i="4"/>
  <c r="G85" i="4"/>
  <c r="G97" i="4"/>
  <c r="G109" i="4"/>
  <c r="G121" i="4"/>
  <c r="G133" i="4"/>
  <c r="G137" i="4"/>
  <c r="G149" i="4"/>
  <c r="G161" i="4"/>
  <c r="G173" i="4"/>
  <c r="G185" i="4"/>
  <c r="G193" i="4"/>
  <c r="G205" i="4"/>
  <c r="G217" i="4"/>
  <c r="G229" i="4"/>
  <c r="G241" i="4"/>
  <c r="G253" i="4"/>
  <c r="G261" i="4"/>
  <c r="G273" i="4"/>
  <c r="G285" i="4"/>
  <c r="G293" i="4"/>
  <c r="G309" i="4"/>
  <c r="G321" i="4"/>
  <c r="G333" i="4"/>
  <c r="G345" i="4"/>
  <c r="G353" i="4"/>
  <c r="G365" i="4"/>
  <c r="G377" i="4"/>
  <c r="G389" i="4"/>
  <c r="G401" i="4"/>
  <c r="G413" i="4"/>
  <c r="G425" i="4"/>
  <c r="G433" i="4"/>
  <c r="G445" i="4"/>
  <c r="G457" i="4"/>
  <c r="G473" i="4"/>
  <c r="G485" i="4"/>
  <c r="G497" i="4"/>
  <c r="G509" i="4"/>
  <c r="G513" i="4"/>
  <c r="G905" i="4"/>
  <c r="G901" i="4"/>
  <c r="G917" i="4"/>
  <c r="G853" i="4"/>
  <c r="G5" i="4"/>
  <c r="G17" i="4"/>
  <c r="G29" i="4"/>
  <c r="G41" i="4"/>
  <c r="G45" i="4"/>
  <c r="G57" i="4"/>
  <c r="G69" i="4"/>
  <c r="G81" i="4"/>
  <c r="G93" i="4"/>
  <c r="G105" i="4"/>
  <c r="G117" i="4"/>
  <c r="G129" i="4"/>
  <c r="G141" i="4"/>
  <c r="G153" i="4"/>
  <c r="G165" i="4"/>
  <c r="G177" i="4"/>
  <c r="G189" i="4"/>
  <c r="G201" i="4"/>
  <c r="G209" i="4"/>
  <c r="G221" i="4"/>
  <c r="G233" i="4"/>
  <c r="G245" i="4"/>
  <c r="G257" i="4"/>
  <c r="G265" i="4"/>
  <c r="G277" i="4"/>
  <c r="G305" i="4"/>
  <c r="G317" i="4"/>
  <c r="G329" i="4"/>
  <c r="G337" i="4"/>
  <c r="G349" i="4"/>
  <c r="G361" i="4"/>
  <c r="G373" i="4"/>
  <c r="G385" i="4"/>
  <c r="G397" i="4"/>
  <c r="G405" i="4"/>
  <c r="G417" i="4"/>
  <c r="G429" i="4"/>
  <c r="G441" i="4"/>
  <c r="G453" i="4"/>
  <c r="G461" i="4"/>
  <c r="G469" i="4"/>
  <c r="G481" i="4"/>
  <c r="G493" i="4"/>
  <c r="G505" i="4"/>
  <c r="G877" i="4"/>
  <c r="G941" i="4"/>
  <c r="G925" i="4"/>
  <c r="G861" i="4"/>
  <c r="G845" i="4"/>
  <c r="G621" i="4"/>
  <c r="G605" i="4"/>
  <c r="G597" i="4"/>
  <c r="G593" i="4"/>
  <c r="G589" i="4"/>
  <c r="G585" i="4"/>
  <c r="G581" i="4"/>
  <c r="G577" i="4"/>
  <c r="G573" i="4"/>
  <c r="G569" i="4"/>
  <c r="G565" i="4"/>
  <c r="G561" i="4"/>
  <c r="G557" i="4"/>
  <c r="G553" i="4"/>
  <c r="G549" i="4"/>
  <c r="G545" i="4"/>
  <c r="G541" i="4"/>
  <c r="G537" i="4"/>
  <c r="G533" i="4"/>
  <c r="G529" i="4"/>
  <c r="G525" i="4"/>
  <c r="G521" i="4"/>
  <c r="G517" i="4"/>
  <c r="G297" i="4"/>
  <c r="G298" i="4"/>
  <c r="G17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" authorId="0" shapeId="0" xr:uid="{17471DE7-881D-4512-8292-32006AF564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Códigos originales</t>
        </r>
      </text>
    </comment>
    <comment ref="C709" authorId="0" shapeId="0" xr:uid="{3CCF43AF-A2ED-4478-AEB2-F6F6267CAE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Reemplace "," por "-"</t>
        </r>
      </text>
    </comment>
    <comment ref="C817" authorId="0" shapeId="0" xr:uid="{17C148E4-FB14-44D6-9B20-79DDE8C432D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Reemplace "," por "-"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7" authorId="0" shapeId="0" xr:uid="{53EDF89A-E531-4446-9E41-9D53085521A8}">
      <text>
        <r>
          <rPr>
            <b/>
            <sz val="9"/>
            <color indexed="81"/>
            <rFont val="Tahoma"/>
            <family val="2"/>
          </rPr>
          <t>Origen: Este campo es requerido.</t>
        </r>
        <r>
          <rPr>
            <sz val="9"/>
            <color indexed="81"/>
            <rFont val="Tahoma"/>
            <family val="2"/>
          </rPr>
          <t xml:space="preserve">
Corresponde al municipio de origen del cual parte la ruta.
Identifica el municipio desde donde inicia la ruta. Al comenzar a escribir las primeras letras del municipio, aparecerá un botón. Al hacer clic en él, se mostrará una lista con opciones que coinciden, permitiéndole seleccionar fácilmente el municipio correcto.</t>
        </r>
      </text>
    </comment>
    <comment ref="E8" authorId="0" shapeId="0" xr:uid="{2EBE9A1E-0125-4D3A-97B7-81F666CF127D}">
      <text>
        <r>
          <rPr>
            <b/>
            <sz val="9"/>
            <color indexed="81"/>
            <rFont val="Tahoma"/>
            <family val="2"/>
          </rPr>
          <t>Destino: Este campo es requerido.</t>
        </r>
        <r>
          <rPr>
            <sz val="9"/>
            <color indexed="81"/>
            <rFont val="Tahoma"/>
            <family val="2"/>
          </rPr>
          <t xml:space="preserve">
Corresponde al municipio de destino.
Identifica el municipio hacia donde se dirige la ruta. Al comenzar a escribir las primeras letras del municipio de destino, aparecerá un botón. Al hacer clic en él, se mostrará una lista con opciones que coinciden, facilitándole la elección del municipio adecuado</t>
        </r>
      </text>
    </comment>
    <comment ref="E9" authorId="0" shapeId="0" xr:uid="{774E540E-C740-4350-B4FD-8B000C0CD4F0}">
      <text>
        <r>
          <rPr>
            <b/>
            <sz val="9"/>
            <color indexed="81"/>
            <rFont val="Tahoma"/>
            <family val="2"/>
          </rPr>
          <t>Fecha inicio: Este campo es requerido.</t>
        </r>
        <r>
          <rPr>
            <sz val="9"/>
            <color indexed="81"/>
            <rFont val="Tahoma"/>
            <family val="2"/>
          </rPr>
          <t xml:space="preserve">
Esta fecha señala el comienzo del periodo para el cual desea cargar los horarios de las rutas de transporte de su compañía.</t>
        </r>
      </text>
    </comment>
    <comment ref="E10" authorId="0" shapeId="0" xr:uid="{FC78EA4A-6A88-4B12-82BA-858631B7DC6C}">
      <text>
        <r>
          <rPr>
            <b/>
            <sz val="9"/>
            <color indexed="81"/>
            <rFont val="Tahoma"/>
            <family val="2"/>
          </rPr>
          <t>Fecha fin: Este campo es requerido.</t>
        </r>
        <r>
          <rPr>
            <sz val="9"/>
            <color indexed="81"/>
            <rFont val="Tahoma"/>
            <family val="2"/>
          </rPr>
          <t xml:space="preserve">
Esta fecha marca el término de ese periodo. Juntas, la 'Fecha inicio' y 'Fecha fin' determinan el rango de tiempo en el cual se establecerán los horarios de transporte.
Una vez haya definido este periodo, puede proceder a detallar, en cada fila del Excel, la fecha específica y los respectivos horarios de salida o inicio del viaje.</t>
        </r>
      </text>
    </comment>
    <comment ref="E13" authorId="0" shapeId="0" xr:uid="{F41A7BED-6C7E-420E-9CC1-E778EE710CD9}">
      <text>
        <r>
          <rPr>
            <b/>
            <sz val="9"/>
            <color indexed="81"/>
            <rFont val="Tahoma"/>
            <family val="2"/>
          </rPr>
          <t>Fecha: 1 fila como mínimo es requerido.</t>
        </r>
        <r>
          <rPr>
            <sz val="9"/>
            <color indexed="81"/>
            <rFont val="Tahoma"/>
            <family val="2"/>
          </rPr>
          <t xml:space="preserve">
Todas las filas deben tener fechas únicas.</t>
        </r>
      </text>
    </comment>
    <comment ref="F13" authorId="0" shapeId="0" xr:uid="{3614FC0F-C1E5-4EE1-898A-B3C03CB00266}">
      <text>
        <r>
          <rPr>
            <b/>
            <sz val="9"/>
            <color indexed="81"/>
            <rFont val="Tahoma"/>
            <family val="2"/>
          </rPr>
          <t>Hora: como mínimo, 1 hora (hh:mm) es requerida.</t>
        </r>
        <r>
          <rPr>
            <sz val="9"/>
            <color indexed="81"/>
            <rFont val="Tahoma"/>
            <family val="2"/>
          </rPr>
          <t xml:space="preserve">
Puede agregar tantas horas como desee, siempre y cuando no se repitan para una fecha dada.</t>
        </r>
      </text>
    </comment>
    <comment ref="G13" authorId="0" shapeId="0" xr:uid="{3D40BB1E-2A1D-45F5-A307-B7413A7904DA}">
      <text>
        <r>
          <rPr>
            <b/>
            <sz val="9"/>
            <color indexed="81"/>
            <rFont val="Tahoma"/>
            <family val="2"/>
          </rPr>
          <t xml:space="preserve">Tarifa: Este campo es requerido.
</t>
        </r>
        <r>
          <rPr>
            <sz val="9"/>
            <color indexed="81"/>
            <rFont val="Tahoma"/>
            <family val="2"/>
          </rPr>
          <t xml:space="preserve">
Corresponde al valor del pasaje o tiquete. El valor de la tarifa debe ser SIN puntos, NI comas, NI signo pesos, NI decimales.</t>
        </r>
      </text>
    </comment>
    <comment ref="H13" authorId="0" shapeId="0" xr:uid="{DDE9300C-5A37-4AB4-AA49-F80FDAB892EA}">
      <text>
        <r>
          <rPr>
            <b/>
            <sz val="9"/>
            <color indexed="81"/>
            <rFont val="Tahoma"/>
            <family val="2"/>
          </rPr>
          <t>Duración: Este campo es requerido.</t>
        </r>
        <r>
          <rPr>
            <sz val="9"/>
            <color indexed="81"/>
            <rFont val="Tahoma"/>
            <family val="2"/>
          </rPr>
          <t xml:space="preserve">
Corresponde al tiempo de viaje estimado que se tarda en ir desde el origen hasta el municipio de destino.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<sst xmlns="http://schemas.openxmlformats.org/spreadsheetml/2006/main" count="3399" uniqueCount="1093">
  <si>
    <t>REGION</t>
  </si>
  <si>
    <t>CÓDIGO DANE DEL DEPARTAMENTO</t>
  </si>
  <si>
    <t>DEPARTAMENTO</t>
  </si>
  <si>
    <t>CÓDIGO DANE DEL MUNICIPIO</t>
  </si>
  <si>
    <t>MUNICIPIO</t>
  </si>
  <si>
    <t>Región Eje Cafetero - Antioquia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</si>
  <si>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</si>
  <si>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</si>
  <si>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</si>
  <si>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</si>
  <si>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</si>
  <si>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</si>
  <si>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</si>
  <si>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</si>
  <si>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</si>
  <si>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</si>
  <si>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</si>
  <si>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Región Centro Oriente</t>
  </si>
  <si>
    <t>Boyacá</t>
  </si>
  <si>
    <t>Tununguá</t>
  </si>
  <si>
    <t>Anza</t>
  </si>
  <si>
    <t>Apartadó</t>
  </si>
  <si>
    <t>Arboletes</t>
  </si>
  <si>
    <t>Argelia</t>
  </si>
  <si>
    <t>Armenia</t>
  </si>
  <si>
    <t>Barbosa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</si>
  <si>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</si>
  <si>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</si>
  <si>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</si>
  <si>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</si>
  <si>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</si>
  <si>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</si>
  <si>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</si>
  <si>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</si>
  <si>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</si>
  <si>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</si>
  <si>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</si>
  <si>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</si>
  <si>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</si>
  <si>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</si>
  <si>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Motavita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</si>
  <si>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</si>
  <si>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</si>
  <si>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</si>
  <si>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</si>
  <si>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</si>
  <si>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</si>
  <si>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</si>
  <si>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</si>
  <si>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</si>
  <si>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</si>
  <si>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</si>
  <si>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</si>
  <si>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</si>
  <si>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</si>
  <si>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</si>
  <si>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Región Caribe</t>
  </si>
  <si>
    <t>Córdoba</t>
  </si>
  <si>
    <t>San Bernardo del Viento</t>
  </si>
  <si>
    <t>Giraldo</t>
  </si>
  <si>
    <t>Girardota</t>
  </si>
  <si>
    <t>Gómez Plata</t>
  </si>
  <si>
    <t>Región Pacífico</t>
  </si>
  <si>
    <t>Chocó</t>
  </si>
  <si>
    <t>Istmina</t>
  </si>
  <si>
    <t>Guadalupe</t>
  </si>
  <si>
    <t>Guarne</t>
  </si>
  <si>
    <t>Guatapé</t>
  </si>
  <si>
    <t>Heliconia</t>
  </si>
  <si>
    <t>Hispania</t>
  </si>
  <si>
    <t>Itagui</t>
  </si>
  <si>
    <t>Ituango</t>
  </si>
  <si>
    <t>Belmira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</si>
  <si>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</si>
  <si>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</si>
  <si>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</si>
  <si>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</si>
  <si>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</si>
  <si>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</si>
  <si>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</si>
  <si>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</si>
  <si>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</si>
  <si>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</si>
  <si>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</si>
  <si>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</si>
  <si>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</si>
  <si>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</si>
  <si>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</si>
  <si>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</si>
  <si>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</si>
  <si>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</si>
  <si>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</si>
  <si>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</si>
  <si>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</si>
  <si>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</si>
  <si>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</si>
  <si>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</si>
  <si>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</si>
  <si>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</si>
  <si>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</si>
  <si>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Ciénega</t>
  </si>
  <si>
    <t>Santacruz</t>
  </si>
  <si>
    <t>San Francisco</t>
  </si>
  <si>
    <t>San Jerónimo</t>
  </si>
  <si>
    <t>Santander</t>
  </si>
  <si>
    <t>Puerto Wilches</t>
  </si>
  <si>
    <t>Puerto Parra</t>
  </si>
  <si>
    <t>San Luis</t>
  </si>
  <si>
    <t>San Pedro</t>
  </si>
  <si>
    <t>San Rafael</t>
  </si>
  <si>
    <t>San Roque</t>
  </si>
  <si>
    <t>San Vicente</t>
  </si>
  <si>
    <t>Santa Bárbara</t>
  </si>
  <si>
    <t>Santo Domingo</t>
  </si>
  <si>
    <t>El Santuario</t>
  </si>
  <si>
    <t>Segovia</t>
  </si>
  <si>
    <t>Sopetrán</t>
  </si>
  <si>
    <t>Región Llano</t>
  </si>
  <si>
    <t>Meta</t>
  </si>
  <si>
    <t>Uribe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</si>
  <si>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</si>
  <si>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</si>
  <si>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</si>
  <si>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</si>
  <si>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</si>
  <si>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</si>
  <si>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</si>
  <si>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</si>
  <si>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</si>
  <si>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</si>
  <si>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</si>
  <si>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</si>
  <si>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Yalí</t>
  </si>
  <si>
    <t>Yarumal</t>
  </si>
  <si>
    <t>Yolombó</t>
  </si>
  <si>
    <t>Yondó</t>
  </si>
  <si>
    <t>Zaragoza</t>
  </si>
  <si>
    <t>Atlántico</t>
  </si>
  <si>
    <t>Barranquilla</t>
  </si>
  <si>
    <t>Baranoa</t>
  </si>
  <si>
    <t>Candelaria</t>
  </si>
  <si>
    <t>Galapa</t>
  </si>
  <si>
    <t>Luruaco</t>
  </si>
  <si>
    <t>Malambo</t>
  </si>
  <si>
    <t>Manatí</t>
  </si>
  <si>
    <t>Piojó</t>
  </si>
  <si>
    <t>Polonuevo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</si>
  <si>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</si>
  <si>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</si>
  <si>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</si>
  <si>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</si>
  <si>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</si>
  <si>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</si>
  <si>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</si>
  <si>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Bolívar</t>
  </si>
  <si>
    <t>Achí</t>
  </si>
  <si>
    <t>Arenal</t>
  </si>
  <si>
    <t>Arjona</t>
  </si>
  <si>
    <t>Arroyohondo</t>
  </si>
  <si>
    <t>Calamar</t>
  </si>
  <si>
    <t>Cantagallo</t>
  </si>
  <si>
    <t>Cicuco</t>
  </si>
  <si>
    <t>Clemencia</t>
  </si>
  <si>
    <t>El Guamo</t>
  </si>
  <si>
    <t>Magangué</t>
  </si>
  <si>
    <t>Mahates</t>
  </si>
  <si>
    <t>Margarita</t>
  </si>
  <si>
    <t>Montecristo</t>
  </si>
  <si>
    <t>Mompós</t>
  </si>
  <si>
    <t>Morales</t>
  </si>
  <si>
    <t>Norosí</t>
  </si>
  <si>
    <t>Pinillos</t>
  </si>
  <si>
    <t>Regidor</t>
  </si>
  <si>
    <t>Río Viejo</t>
  </si>
  <si>
    <t>San Estanislao</t>
  </si>
  <si>
    <t>San Fernando</t>
  </si>
  <si>
    <t>San Juan Nepomuceno</t>
  </si>
  <si>
    <t>Santa Catalina</t>
  </si>
  <si>
    <t>Santa Rosa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</si>
  <si>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</si>
  <si>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</si>
  <si>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</si>
  <si>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</si>
  <si>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</si>
  <si>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</si>
  <si>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</si>
  <si>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Tunja</t>
  </si>
  <si>
    <t>Almeida</t>
  </si>
  <si>
    <t>Aquitania</t>
  </si>
  <si>
    <t>Arcabuco</t>
  </si>
  <si>
    <t>Berbeo</t>
  </si>
  <si>
    <t>Betéitiva</t>
  </si>
  <si>
    <t>Boavita</t>
  </si>
  <si>
    <t>Buena 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</si>
  <si>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</si>
  <si>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</si>
  <si>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</si>
  <si>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</si>
  <si>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</si>
  <si>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</si>
  <si>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</si>
  <si>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</si>
  <si>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</si>
  <si>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</si>
  <si>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</si>
  <si>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</si>
  <si>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</si>
  <si>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</si>
  <si>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</si>
  <si>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</si>
  <si>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</si>
  <si>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</si>
  <si>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</si>
  <si>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</si>
  <si>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</si>
  <si>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</si>
  <si>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</si>
  <si>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</si>
  <si>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</si>
  <si>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</si>
  <si>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</si>
  <si>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</si>
  <si>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</si>
  <si>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</si>
  <si>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</si>
  <si>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</si>
  <si>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Labranzagrande</t>
  </si>
  <si>
    <t>La Capilla</t>
  </si>
  <si>
    <t>La Victoria</t>
  </si>
  <si>
    <t>Macanal</t>
  </si>
  <si>
    <t>Maripí</t>
  </si>
  <si>
    <t>Miraflores</t>
  </si>
  <si>
    <t>Mongua</t>
  </si>
  <si>
    <t>Monguí</t>
  </si>
  <si>
    <t>Moniquirá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</si>
  <si>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</si>
  <si>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</si>
  <si>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</si>
  <si>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</si>
  <si>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</si>
  <si>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</si>
  <si>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</si>
  <si>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</si>
  <si>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</si>
  <si>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</si>
  <si>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</si>
  <si>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</si>
  <si>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</si>
  <si>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</si>
  <si>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</si>
  <si>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</si>
  <si>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</si>
  <si>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</si>
  <si>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</si>
  <si>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</si>
  <si>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</si>
  <si>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</si>
  <si>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</si>
  <si>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Mateo</t>
  </si>
  <si>
    <t>Santana</t>
  </si>
  <si>
    <t>Santa María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</si>
  <si>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</si>
  <si>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</si>
  <si>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</si>
  <si>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</si>
  <si>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</si>
  <si>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</si>
  <si>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</si>
  <si>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</si>
  <si>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</si>
  <si>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</si>
  <si>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</si>
  <si>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</si>
  <si>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</si>
  <si>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</si>
  <si>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</si>
  <si>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</si>
  <si>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</si>
  <si>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</si>
  <si>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Tinjacá</t>
  </si>
  <si>
    <t>Tipacoque</t>
  </si>
  <si>
    <t>Toca</t>
  </si>
  <si>
    <t>Tópaga</t>
  </si>
  <si>
    <t>Tota</t>
  </si>
  <si>
    <t>Turmequé</t>
  </si>
  <si>
    <t>Tutazá</t>
  </si>
  <si>
    <t>Umbita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</si>
  <si>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</si>
  <si>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</si>
  <si>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</si>
  <si>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</si>
  <si>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</si>
  <si>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</si>
  <si>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</si>
  <si>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</si>
  <si>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</si>
  <si>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</si>
  <si>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</si>
  <si>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</si>
  <si>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</si>
  <si>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</si>
  <si>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</si>
  <si>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</si>
  <si>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</si>
  <si>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</si>
  <si>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</si>
  <si>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</si>
  <si>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</si>
  <si>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</si>
  <si>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</si>
  <si>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</si>
  <si>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</si>
  <si>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</si>
  <si>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</si>
  <si>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</si>
  <si>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</si>
  <si>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Región Centro Sur</t>
  </si>
  <si>
    <t>Caquetá</t>
  </si>
  <si>
    <t>Florencia</t>
  </si>
  <si>
    <t>Albania</t>
  </si>
  <si>
    <t>Curillo</t>
  </si>
  <si>
    <t>El Doncello</t>
  </si>
  <si>
    <t>El Paujil</t>
  </si>
  <si>
    <t>Morelia</t>
  </si>
  <si>
    <t>Puerto Rico</t>
  </si>
  <si>
    <t>Solano</t>
  </si>
  <si>
    <t>Solita</t>
  </si>
  <si>
    <t>Cauca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</si>
  <si>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</si>
  <si>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</si>
  <si>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</si>
  <si>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</si>
  <si>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</si>
  <si>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</si>
  <si>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</si>
  <si>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</si>
  <si>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</si>
  <si>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</si>
  <si>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</si>
  <si>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</si>
  <si>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</si>
  <si>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</si>
  <si>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</si>
  <si>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</t>
  </si>
  <si>
    <t>Mercaderes</t>
  </si>
  <si>
    <t>Miranda</t>
  </si>
  <si>
    <t>Padilla</t>
  </si>
  <si>
    <t>Patía</t>
  </si>
  <si>
    <t>Piamonte</t>
  </si>
  <si>
    <t>Piendamó</t>
  </si>
  <si>
    <t>Puerto Tejada</t>
  </si>
  <si>
    <t>Puracé</t>
  </si>
  <si>
    <t>Rosas</t>
  </si>
  <si>
    <t>Silvia</t>
  </si>
  <si>
    <t>Sotara</t>
  </si>
  <si>
    <t>Suárez</t>
  </si>
  <si>
    <t>Sucre</t>
  </si>
  <si>
    <t>Timbío</t>
  </si>
  <si>
    <t>Timbiquí</t>
  </si>
  <si>
    <t>Toribio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</si>
  <si>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</si>
  <si>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</si>
  <si>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</si>
  <si>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</si>
  <si>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</si>
  <si>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</si>
  <si>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</si>
  <si>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</si>
  <si>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</si>
  <si>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</si>
  <si>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</si>
  <si>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</si>
  <si>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</si>
  <si>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</si>
  <si>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</si>
  <si>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</si>
  <si>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</si>
  <si>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Manaure</t>
  </si>
  <si>
    <t>Pailitas</t>
  </si>
  <si>
    <t>Pelaya</t>
  </si>
  <si>
    <t>Pueblo Bello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</si>
  <si>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</si>
  <si>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</si>
  <si>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</si>
  <si>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</si>
  <si>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</si>
  <si>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</si>
  <si>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</si>
  <si>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Buenavista</t>
  </si>
  <si>
    <t>Canalete</t>
  </si>
  <si>
    <t>Cereté</t>
  </si>
  <si>
    <t>Chimá</t>
  </si>
  <si>
    <t>Chinú</t>
  </si>
  <si>
    <t>Cotorra</t>
  </si>
  <si>
    <t>Lorica</t>
  </si>
  <si>
    <t>Los Córdobas</t>
  </si>
  <si>
    <t>Momil</t>
  </si>
  <si>
    <t>Moñitos</t>
  </si>
  <si>
    <t>Planeta Rica</t>
  </si>
  <si>
    <t>Pueblo Nuevo</t>
  </si>
  <si>
    <t>Puerto Escondido</t>
  </si>
  <si>
    <t>Purísima</t>
  </si>
  <si>
    <t>Sahagún</t>
  </si>
  <si>
    <t>San Andrés Sotavento</t>
  </si>
  <si>
    <t>San Antero</t>
  </si>
  <si>
    <t>San Pelayo</t>
  </si>
  <si>
    <t>Tierralta</t>
  </si>
  <si>
    <t>Tuchín</t>
  </si>
  <si>
    <t>Valencia</t>
  </si>
  <si>
    <t>Cundinamarca</t>
  </si>
  <si>
    <t>Anapoima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</si>
  <si>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</si>
  <si>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</si>
  <si>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</si>
  <si>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</si>
  <si>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</si>
  <si>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</si>
  <si>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</si>
  <si>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</si>
  <si>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</si>
  <si>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Chaguaní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</si>
  <si>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</si>
  <si>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</si>
  <si>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</si>
  <si>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</si>
  <si>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</si>
  <si>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</si>
  <si>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</si>
  <si>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</si>
  <si>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Fomeque</t>
  </si>
  <si>
    <t>Fosca</t>
  </si>
  <si>
    <t>Funza</t>
  </si>
  <si>
    <t>Fúquene</t>
  </si>
  <si>
    <t>Gachala</t>
  </si>
  <si>
    <t>Gachancipá</t>
  </si>
  <si>
    <t>Gachetá</t>
  </si>
  <si>
    <t>Girardot</t>
  </si>
  <si>
    <t>Granada</t>
  </si>
  <si>
    <t>Guachetá</t>
  </si>
  <si>
    <t>Guaduas</t>
  </si>
  <si>
    <t>Guasca</t>
  </si>
  <si>
    <t>Guataquí</t>
  </si>
  <si>
    <t>Guatavita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</si>
  <si>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</si>
  <si>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</si>
  <si>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</si>
  <si>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</si>
  <si>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</si>
  <si>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</si>
  <si>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</si>
  <si>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</si>
  <si>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</si>
  <si>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</si>
  <si>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</si>
  <si>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</si>
  <si>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</si>
  <si>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</si>
  <si>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</si>
  <si>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</si>
  <si>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</si>
  <si>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</si>
  <si>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</si>
  <si>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</si>
  <si>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</si>
  <si>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</si>
  <si>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</si>
  <si>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</si>
  <si>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</si>
  <si>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</si>
  <si>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</si>
  <si>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</si>
  <si>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</si>
  <si>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</si>
  <si>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Bernardo</t>
  </si>
  <si>
    <t>San Cayetano</t>
  </si>
  <si>
    <t>Sesquilé</t>
  </si>
  <si>
    <t>Sibaté</t>
  </si>
  <si>
    <t>Silvania</t>
  </si>
  <si>
    <t>Simijaca</t>
  </si>
  <si>
    <t>Soacha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</si>
  <si>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</si>
  <si>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</si>
  <si>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</si>
  <si>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</si>
  <si>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</si>
  <si>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</si>
  <si>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</si>
  <si>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</si>
  <si>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</si>
  <si>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</si>
  <si>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</si>
  <si>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</si>
  <si>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</si>
  <si>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</si>
  <si>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</si>
  <si>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</si>
  <si>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Une</t>
  </si>
  <si>
    <t>Útica</t>
  </si>
  <si>
    <t>Vianí</t>
  </si>
  <si>
    <t>Villagómez</t>
  </si>
  <si>
    <t>Villapinzón</t>
  </si>
  <si>
    <t>Villeta</t>
  </si>
  <si>
    <t>Viotá</t>
  </si>
  <si>
    <t>Zipacón</t>
  </si>
  <si>
    <t>Quibdó</t>
  </si>
  <si>
    <t>Acandí</t>
  </si>
  <si>
    <t>Alto Baudo</t>
  </si>
  <si>
    <t>Atrato</t>
  </si>
  <si>
    <t>Bagadó</t>
  </si>
  <si>
    <t>Bahía Solano</t>
  </si>
  <si>
    <t>Bajo Baudó</t>
  </si>
  <si>
    <t>Bojaya</t>
  </si>
  <si>
    <t>Cértegui</t>
  </si>
  <si>
    <t>Condoto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</si>
  <si>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</si>
  <si>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</si>
  <si>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</si>
  <si>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</si>
  <si>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</si>
  <si>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</si>
  <si>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</si>
  <si>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Iro</t>
  </si>
  <si>
    <t>Río Quito</t>
  </si>
  <si>
    <t>Sipí</t>
  </si>
  <si>
    <t>Unguía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</si>
  <si>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</si>
  <si>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</si>
  <si>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</si>
  <si>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</si>
  <si>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</si>
  <si>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</si>
  <si>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</si>
  <si>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</si>
  <si>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</si>
  <si>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</si>
  <si>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</si>
  <si>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</si>
  <si>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</si>
  <si>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</si>
  <si>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Iquira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</si>
  <si>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</si>
  <si>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</si>
  <si>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</si>
  <si>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</si>
  <si>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</si>
  <si>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</si>
  <si>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</si>
  <si>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</si>
  <si>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</si>
  <si>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</si>
  <si>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</si>
  <si>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</si>
  <si>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</si>
  <si>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</si>
  <si>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</si>
  <si>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</si>
  <si>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</si>
  <si>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</si>
  <si>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</si>
  <si>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</si>
  <si>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</si>
  <si>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</si>
  <si>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Dibula</t>
  </si>
  <si>
    <t>Distracción</t>
  </si>
  <si>
    <t>El Molino</t>
  </si>
  <si>
    <t>Fonseca</t>
  </si>
  <si>
    <t>Hatonuevo</t>
  </si>
  <si>
    <t>Maicao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</si>
  <si>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</si>
  <si>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</si>
  <si>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</si>
  <si>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</si>
  <si>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</si>
  <si>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</si>
  <si>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</si>
  <si>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San Antonio</t>
  </si>
  <si>
    <t>Chivolo</t>
  </si>
  <si>
    <t>El Banco</t>
  </si>
  <si>
    <t>El Piñon</t>
  </si>
  <si>
    <t>El Retén</t>
  </si>
  <si>
    <t>Fundación</t>
  </si>
  <si>
    <t>Guamal</t>
  </si>
  <si>
    <t>Nueva Granada</t>
  </si>
  <si>
    <t>Pedraza</t>
  </si>
  <si>
    <t>Pivijay</t>
  </si>
  <si>
    <t>Plato</t>
  </si>
  <si>
    <t>Remolino</t>
  </si>
  <si>
    <t>San Zenón</t>
  </si>
  <si>
    <t>Santa Ana</t>
  </si>
  <si>
    <t>Sitionuevo</t>
  </si>
  <si>
    <t>Tenerife</t>
  </si>
  <si>
    <t>Zapayán</t>
  </si>
  <si>
    <t>Zona Bananera</t>
  </si>
  <si>
    <t>Villavicencio</t>
  </si>
  <si>
    <t>Acacias</t>
  </si>
  <si>
    <t>Cabuyaro</t>
  </si>
  <si>
    <t>Cubarral</t>
  </si>
  <si>
    <t>Cumaral</t>
  </si>
  <si>
    <t>El Calvario</t>
  </si>
  <si>
    <t>El Castillo</t>
  </si>
  <si>
    <t>El Dorado</t>
  </si>
  <si>
    <t>Mapiripán</t>
  </si>
  <si>
    <t>Mesetas</t>
  </si>
  <si>
    <t>La Macarena</t>
  </si>
  <si>
    <t>Lejanías</t>
  </si>
  <si>
    <t>Puerto Concordia</t>
  </si>
  <si>
    <t>Puerto Gaitán</t>
  </si>
  <si>
    <t>Puerto López</t>
  </si>
  <si>
    <t>Puerto Lleras</t>
  </si>
  <si>
    <t>Restrepo</t>
  </si>
  <si>
    <t>San Juanito</t>
  </si>
  <si>
    <t>Vista Hermosa</t>
  </si>
  <si>
    <t>Pasto</t>
  </si>
  <si>
    <t>Albán</t>
  </si>
  <si>
    <t>Aldana</t>
  </si>
  <si>
    <t>Ancuyá</t>
  </si>
  <si>
    <t>Barbacoas</t>
  </si>
  <si>
    <t>Colón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</si>
  <si>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</si>
  <si>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</si>
  <si>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</si>
  <si>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</si>
  <si>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</si>
  <si>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</si>
  <si>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</si>
  <si>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</si>
  <si>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</si>
  <si>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</si>
  <si>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</si>
  <si>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</si>
  <si>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</si>
  <si>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</si>
  <si>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</si>
  <si>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</si>
  <si>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</si>
  <si>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</si>
  <si>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</si>
  <si>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</si>
  <si>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</si>
  <si>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</si>
  <si>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</si>
  <si>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</si>
  <si>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</si>
  <si>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</si>
  <si>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</si>
  <si>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</si>
  <si>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</si>
  <si>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</si>
  <si>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</si>
  <si>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</si>
  <si>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</si>
  <si>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</si>
  <si>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</si>
  <si>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</si>
  <si>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Pablo</t>
  </si>
  <si>
    <t>Sapuyes</t>
  </si>
  <si>
    <t>Taminango</t>
  </si>
  <si>
    <t>Tangua</t>
  </si>
  <si>
    <t>Túquerres</t>
  </si>
  <si>
    <t>Yacuanquer</t>
  </si>
  <si>
    <t>Quindío</t>
  </si>
  <si>
    <t>Circasia</t>
  </si>
  <si>
    <t>Filandia</t>
  </si>
  <si>
    <t>La Tebaida</t>
  </si>
  <si>
    <t>Montenegro</t>
  </si>
  <si>
    <t>Pijao</t>
  </si>
  <si>
    <t>Quimbaya</t>
  </si>
  <si>
    <t>Salento</t>
  </si>
  <si>
    <t>Pereira</t>
  </si>
  <si>
    <t>Apía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</si>
  <si>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</si>
  <si>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</si>
  <si>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</si>
  <si>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</si>
  <si>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</si>
  <si>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</si>
  <si>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</si>
  <si>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</si>
  <si>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Santuario</t>
  </si>
  <si>
    <t>Bucaramanga</t>
  </si>
  <si>
    <t>Aguada</t>
  </si>
  <si>
    <t>Aratoca</t>
  </si>
  <si>
    <t>Barichara</t>
  </si>
  <si>
    <t>Barrancabermeja</t>
  </si>
  <si>
    <t>California</t>
  </si>
  <si>
    <t>Carcasí</t>
  </si>
  <si>
    <t>Cepitá</t>
  </si>
  <si>
    <t>Cerrito</t>
  </si>
  <si>
    <t>Charalá</t>
  </si>
  <si>
    <t>Charta</t>
  </si>
  <si>
    <t>Chipatá</t>
  </si>
  <si>
    <t>Cimitarra</t>
  </si>
  <si>
    <t>Confines</t>
  </si>
  <si>
    <t>Contratación</t>
  </si>
  <si>
    <t>Coromoro</t>
  </si>
  <si>
    <t>Curití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</si>
  <si>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</si>
  <si>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</si>
  <si>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</si>
  <si>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</si>
  <si>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</si>
  <si>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</si>
  <si>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</si>
  <si>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Gambita</t>
  </si>
  <si>
    <t>Girón</t>
  </si>
  <si>
    <t>Guaca</t>
  </si>
  <si>
    <t>Guapotá</t>
  </si>
  <si>
    <t>Guavatá</t>
  </si>
  <si>
    <t>Güepsa</t>
  </si>
  <si>
    <t>Jesús María</t>
  </si>
  <si>
    <t>Jordán</t>
  </si>
  <si>
    <t>La Belleza</t>
  </si>
  <si>
    <t>Landázuri</t>
  </si>
  <si>
    <t>Lebríja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</si>
  <si>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</si>
  <si>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</si>
  <si>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</si>
  <si>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</si>
  <si>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</si>
  <si>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</si>
  <si>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</si>
  <si>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</si>
  <si>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</si>
  <si>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</si>
  <si>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Páramo</t>
  </si>
  <si>
    <t>Piedecuesta</t>
  </si>
  <si>
    <t>Pinchote</t>
  </si>
  <si>
    <t>Puente Nacional</t>
  </si>
  <si>
    <t>San Andrés</t>
  </si>
  <si>
    <t>San Gil</t>
  </si>
  <si>
    <t>San Joaquín</t>
  </si>
  <si>
    <t>San Miguel</t>
  </si>
  <si>
    <t>Simacota</t>
  </si>
  <si>
    <t>Socorro</t>
  </si>
  <si>
    <t>Suaita</t>
  </si>
  <si>
    <t>Suratá</t>
  </si>
  <si>
    <t>Tona</t>
  </si>
  <si>
    <t>Vélez</t>
  </si>
  <si>
    <t>Vetas</t>
  </si>
  <si>
    <t>Zapatoca</t>
  </si>
  <si>
    <t>Sincelejo</t>
  </si>
  <si>
    <t>Caimito</t>
  </si>
  <si>
    <t>Coloso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</si>
  <si>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</si>
  <si>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</si>
  <si>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</si>
  <si>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</si>
  <si>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</si>
  <si>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</si>
  <si>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</si>
  <si>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</si>
  <si>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</si>
  <si>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</si>
  <si>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San Benito Abad</t>
  </si>
  <si>
    <t>San Marcos</t>
  </si>
  <si>
    <t>San Onofre</t>
  </si>
  <si>
    <t>Tolú Viejo</t>
  </si>
  <si>
    <t>Tolima</t>
  </si>
  <si>
    <t>Alpujarra</t>
  </si>
  <si>
    <t>Alvarado</t>
  </si>
  <si>
    <t>Ambalema</t>
  </si>
  <si>
    <t>Armero</t>
  </si>
  <si>
    <t>Ataco</t>
  </si>
  <si>
    <t>Cajamarca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</si>
  <si>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</si>
  <si>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</si>
  <si>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</si>
  <si>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</si>
  <si>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</si>
  <si>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</si>
  <si>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</si>
  <si>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</si>
  <si>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</si>
  <si>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</si>
  <si>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</si>
  <si>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</si>
  <si>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</si>
  <si>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</si>
  <si>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</si>
  <si>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</si>
  <si>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</si>
  <si>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</si>
  <si>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</si>
  <si>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</si>
  <si>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</si>
  <si>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</si>
  <si>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</si>
  <si>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 Blanco</t>
  </si>
  <si>
    <t>Roncesvalles</t>
  </si>
  <si>
    <t>Rovira</t>
  </si>
  <si>
    <t>Saldaña</t>
  </si>
  <si>
    <t>Santa Isabel</t>
  </si>
  <si>
    <t>Venadillo</t>
  </si>
  <si>
    <t>Villahermosa</t>
  </si>
  <si>
    <t>Villarrica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</si>
  <si>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</si>
  <si>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</si>
  <si>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</si>
  <si>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</si>
  <si>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</si>
  <si>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</si>
  <si>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</si>
  <si>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</si>
  <si>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</si>
  <si>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</si>
  <si>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</si>
  <si>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</si>
  <si>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</si>
  <si>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Monterrey</t>
  </si>
  <si>
    <t>Pore</t>
  </si>
  <si>
    <t>Recetor</t>
  </si>
  <si>
    <t>Sácama</t>
  </si>
  <si>
    <t>Tauramena</t>
  </si>
  <si>
    <t>Trinidad</t>
  </si>
  <si>
    <t>Putumayo</t>
  </si>
  <si>
    <t>Mocoa</t>
  </si>
  <si>
    <t>Orito</t>
  </si>
  <si>
    <t>Puerto Caicedo</t>
  </si>
  <si>
    <t>Puerto Guzmán</t>
  </si>
  <si>
    <t>Leguízamo</t>
  </si>
  <si>
    <t>Sibundoy</t>
  </si>
  <si>
    <t>Santiago</t>
  </si>
  <si>
    <t>Amazonas</t>
  </si>
  <si>
    <t>Leticia</t>
  </si>
  <si>
    <t>El Encanto</t>
  </si>
  <si>
    <t>La Chorrera</t>
  </si>
  <si>
    <t>La Pedrera</t>
  </si>
  <si>
    <t>Puerto Arica</t>
  </si>
  <si>
    <t>Puerto Nariño</t>
  </si>
  <si>
    <t>Puerto Santander</t>
  </si>
  <si>
    <t>Tarapacá</t>
  </si>
  <si>
    <t>Guainía</t>
  </si>
  <si>
    <t>Inírida</t>
  </si>
  <si>
    <t>Barranco Minas</t>
  </si>
  <si>
    <t>Mapiripana</t>
  </si>
  <si>
    <t>San Felipe</t>
  </si>
  <si>
    <t>Puerto Colombia</t>
  </si>
  <si>
    <t>La Guadalupe</t>
  </si>
  <si>
    <t>Cacahual</t>
  </si>
  <si>
    <t>Pana Pana</t>
  </si>
  <si>
    <t>Vaupés</t>
  </si>
  <si>
    <t>Mitú</t>
  </si>
  <si>
    <t>Carurú</t>
  </si>
  <si>
    <t>Taraira</t>
  </si>
  <si>
    <t>Papunahua</t>
  </si>
  <si>
    <t>Yavaraté</t>
  </si>
  <si>
    <t>Pacoa</t>
  </si>
  <si>
    <t>Morichal</t>
  </si>
  <si>
    <t>Vichada</t>
  </si>
  <si>
    <t>Puerto Carreño</t>
  </si>
  <si>
    <t>La Primavera</t>
  </si>
  <si>
    <t>Santa Rosalía</t>
  </si>
  <si>
    <t>Cumaribo</t>
  </si>
  <si>
    <t>San José del Fragua</t>
  </si>
  <si>
    <t>Barranca de Upía</t>
  </si>
  <si>
    <t>Palmas del Socorro</t>
  </si>
  <si>
    <t>San Juan de Río Seco</t>
  </si>
  <si>
    <t>Juan de Acosta</t>
  </si>
  <si>
    <t>Fuente de Oro</t>
  </si>
  <si>
    <t>San Luis de Gaceno</t>
  </si>
  <si>
    <t>El Litoral del San Juan</t>
  </si>
  <si>
    <t>Villa de San Diego de Ubate</t>
  </si>
  <si>
    <t>Barranco de Loba</t>
  </si>
  <si>
    <t>Togüí</t>
  </si>
  <si>
    <t>Santa Rosa del Sur</t>
  </si>
  <si>
    <t>El Cantón del San Pablo</t>
  </si>
  <si>
    <t>Villa de Leyva</t>
  </si>
  <si>
    <t>San Sebastián de Buenavista</t>
  </si>
  <si>
    <t>Paz de Río</t>
  </si>
  <si>
    <t>Hatillo de Loba</t>
  </si>
  <si>
    <t>Sabanas de San Angel</t>
  </si>
  <si>
    <t>Guaviare</t>
  </si>
  <si>
    <t>Río de Oro</t>
  </si>
  <si>
    <t>San Pedro de Uraba</t>
  </si>
  <si>
    <t>San José del Guaviare</t>
  </si>
  <si>
    <t>Santa Rosa de Viterbo</t>
  </si>
  <si>
    <t>Santander de Quilichao</t>
  </si>
  <si>
    <t>Santafé de Antioquia</t>
  </si>
  <si>
    <t>San Carlos de Guaroa</t>
  </si>
  <si>
    <t>Palmar de Varela</t>
  </si>
  <si>
    <t>Santa Rosa de Osos</t>
  </si>
  <si>
    <t>San Andrés de Cuerquía</t>
  </si>
  <si>
    <t>Valle de San Juan</t>
  </si>
  <si>
    <t>San Vicente de Chucurí</t>
  </si>
  <si>
    <t>San José de Miranda</t>
  </si>
  <si>
    <t>Santa Rosa de Cabal</t>
  </si>
  <si>
    <t>Guayabal de Siquima</t>
  </si>
  <si>
    <t>Belén de Los Andaquies</t>
  </si>
  <si>
    <t>Paz de Ariporo</t>
  </si>
  <si>
    <t>Santa Helena del Opón</t>
  </si>
  <si>
    <t>San Pablo de Borbur</t>
  </si>
  <si>
    <t>La Jagua del Pilar</t>
  </si>
  <si>
    <t>La Jagua de Ibirico</t>
  </si>
  <si>
    <t>San Luis de Sincé</t>
  </si>
  <si>
    <t>El Carmen de Bolívar</t>
  </si>
  <si>
    <t>El Carmen de Atrato</t>
  </si>
  <si>
    <t>San Juan de Betulia</t>
  </si>
  <si>
    <t>Pijiño del Carmen</t>
  </si>
  <si>
    <t>Vigía del Fuerte</t>
  </si>
  <si>
    <t>San Martín de Loba</t>
  </si>
  <si>
    <t>Altos del Rosario</t>
  </si>
  <si>
    <t>Carmen de Apicala</t>
  </si>
  <si>
    <t>San Antonio del Tequendama</t>
  </si>
  <si>
    <t>Sabana de Torres</t>
  </si>
  <si>
    <t>El Retorno</t>
  </si>
  <si>
    <t>San José de Uré</t>
  </si>
  <si>
    <t>San Pedro de Cartago</t>
  </si>
  <si>
    <t>Campo de La Cruz</t>
  </si>
  <si>
    <t>San Juan de Arama</t>
  </si>
  <si>
    <t>San José de La Montaña</t>
  </si>
  <si>
    <t>Cartagena del Chairá</t>
  </si>
  <si>
    <t>San José del Palmar</t>
  </si>
  <si>
    <t>Agua de Dios</t>
  </si>
  <si>
    <t>San Jacinto del Cauca</t>
  </si>
  <si>
    <t>San Agustín</t>
  </si>
  <si>
    <t>El Tablón de Gómez</t>
  </si>
  <si>
    <t>San José de Pare</t>
  </si>
  <si>
    <t>Valle de Guamez</t>
  </si>
  <si>
    <t>Santiago de Tolú</t>
  </si>
  <si>
    <t>Bogotá D.C.</t>
  </si>
  <si>
    <t>Carmen de Carupa</t>
  </si>
  <si>
    <t>Ciénaga de Oro</t>
  </si>
  <si>
    <t>San Juan de Urabá</t>
  </si>
  <si>
    <t>San Juan del Cesar</t>
  </si>
  <si>
    <t>El Carmen de Chucurí</t>
  </si>
  <si>
    <t>El Carmen de Viboral</t>
  </si>
  <si>
    <t>Belén de Umbría</t>
  </si>
  <si>
    <t>Belén de Bajira</t>
  </si>
  <si>
    <t>Valle de San José</t>
  </si>
  <si>
    <t>San Miguel de Sema</t>
  </si>
  <si>
    <t>San Antonio</t>
  </si>
  <si>
    <t>San Benito</t>
  </si>
  <si>
    <t>Vergara</t>
  </si>
  <si>
    <t>San Carlos</t>
  </si>
  <si>
    <t>Puerto Alegría</t>
  </si>
  <si>
    <t>Hato</t>
  </si>
  <si>
    <t>San Jacinto</t>
  </si>
  <si>
    <t>San Sebastián</t>
  </si>
  <si>
    <t>Tuta</t>
  </si>
  <si>
    <t>Norte de Santander</t>
  </si>
  <si>
    <t>Silos</t>
  </si>
  <si>
    <t>Cácota</t>
  </si>
  <si>
    <t>Valle del Cauca</t>
  </si>
  <si>
    <t>El Dovio</t>
  </si>
  <si>
    <t>Roldanillo</t>
  </si>
  <si>
    <t>Mutiscua</t>
  </si>
  <si>
    <t>El Zulia</t>
  </si>
  <si>
    <t>Salazar</t>
  </si>
  <si>
    <t>Sevilla</t>
  </si>
  <si>
    <t>Zarzal</t>
  </si>
  <si>
    <t>Cucutilla</t>
  </si>
  <si>
    <t>El Cerrito</t>
  </si>
  <si>
    <t>Cartago</t>
  </si>
  <si>
    <t>Caicedonia</t>
  </si>
  <si>
    <t>Gramalote</t>
  </si>
  <si>
    <t>El Cairo</t>
  </si>
  <si>
    <t>El Tarra</t>
  </si>
  <si>
    <t>Teorama</t>
  </si>
  <si>
    <t>Dagua</t>
  </si>
  <si>
    <t>Arboledas</t>
  </si>
  <si>
    <t>Guacarí</t>
  </si>
  <si>
    <t>Lourdes</t>
  </si>
  <si>
    <t>Ansermanuevo</t>
  </si>
  <si>
    <t>Bochalema</t>
  </si>
  <si>
    <t>Bugalagrande</t>
  </si>
  <si>
    <t>Convención</t>
  </si>
  <si>
    <t>Hacarí</t>
  </si>
  <si>
    <t>Herrán</t>
  </si>
  <si>
    <t>Ginebra</t>
  </si>
  <si>
    <t>Yumbo</t>
  </si>
  <si>
    <t>Obando</t>
  </si>
  <si>
    <t>Tibú</t>
  </si>
  <si>
    <t>San Calixto</t>
  </si>
  <si>
    <t>La Playa</t>
  </si>
  <si>
    <t>Cali</t>
  </si>
  <si>
    <t>Guadalajara de Buga</t>
  </si>
  <si>
    <t>Chinácota</t>
  </si>
  <si>
    <t>Ragonvalia</t>
  </si>
  <si>
    <t>La Esperanza</t>
  </si>
  <si>
    <t>Villa del Rosario</t>
  </si>
  <si>
    <t>Chitagá</t>
  </si>
  <si>
    <t>Calima</t>
  </si>
  <si>
    <t>Sardinata</t>
  </si>
  <si>
    <t>Andalucía</t>
  </si>
  <si>
    <t>Pradera</t>
  </si>
  <si>
    <t>Abrego</t>
  </si>
  <si>
    <t>Los Patios</t>
  </si>
  <si>
    <t>Ocaña</t>
  </si>
  <si>
    <t>Bucarasica</t>
  </si>
  <si>
    <t>Yotoco</t>
  </si>
  <si>
    <t>Palmira</t>
  </si>
  <si>
    <t>Riofrío</t>
  </si>
  <si>
    <t>Alcalá</t>
  </si>
  <si>
    <t>Versalles</t>
  </si>
  <si>
    <t>Labateca</t>
  </si>
  <si>
    <t>Cachirá</t>
  </si>
  <si>
    <t>Villa Caro</t>
  </si>
  <si>
    <t>Durania</t>
  </si>
  <si>
    <t>El Águila</t>
  </si>
  <si>
    <t>Toro</t>
  </si>
  <si>
    <t>La Cumbre</t>
  </si>
  <si>
    <t>Ulloa</t>
  </si>
  <si>
    <t>Trujillo</t>
  </si>
  <si>
    <t>Vijes</t>
  </si>
  <si>
    <t>Sampués</t>
  </si>
  <si>
    <t>Nunchía</t>
  </si>
  <si>
    <t>Pamplona</t>
  </si>
  <si>
    <t>Montelíbano</t>
  </si>
  <si>
    <t>Puerto Asís</t>
  </si>
  <si>
    <t>Corozal</t>
  </si>
  <si>
    <t>Buesaco</t>
  </si>
  <si>
    <t>Maní</t>
  </si>
  <si>
    <t>El Peñón</t>
  </si>
  <si>
    <t>Tuluá</t>
  </si>
  <si>
    <t>Casabianca</t>
  </si>
  <si>
    <t>Anolaima</t>
  </si>
  <si>
    <t>Chía</t>
  </si>
  <si>
    <t>San Andrés de Tumaco</t>
  </si>
  <si>
    <t>Milán</t>
  </si>
  <si>
    <t>Capitanejo</t>
  </si>
  <si>
    <t>Anzoátegui</t>
  </si>
  <si>
    <t>Florida</t>
  </si>
  <si>
    <t>Repelón</t>
  </si>
  <si>
    <t>Frontino</t>
  </si>
  <si>
    <t>Pamplonita</t>
  </si>
  <si>
    <t>Miriti Paraná</t>
  </si>
  <si>
    <t>Támara</t>
  </si>
  <si>
    <t>Tibasosa</t>
  </si>
  <si>
    <t>Ibagué</t>
  </si>
  <si>
    <t>Belén</t>
  </si>
  <si>
    <t>Sopó</t>
  </si>
  <si>
    <t>Carmen del Darien</t>
  </si>
  <si>
    <t>Gama</t>
  </si>
  <si>
    <t>Sasaima</t>
  </si>
  <si>
    <t>Chachagüí</t>
  </si>
  <si>
    <t>Cúcuta</t>
  </si>
  <si>
    <t>Cartagena</t>
  </si>
  <si>
    <t>Santa Bárbara de Pinto</t>
  </si>
  <si>
    <t>María la Baja</t>
  </si>
  <si>
    <t>La Montañita</t>
  </si>
  <si>
    <t>San Vicente del Caguán</t>
  </si>
  <si>
    <t>Jardín</t>
  </si>
  <si>
    <t>Jamundí</t>
  </si>
  <si>
    <t>Tadó</t>
  </si>
  <si>
    <t>Orocué</t>
  </si>
  <si>
    <t>Líbano</t>
  </si>
  <si>
    <t>Yacopí</t>
  </si>
  <si>
    <t>Calarcá</t>
  </si>
  <si>
    <t>Sonsón</t>
  </si>
  <si>
    <t>El Carmen</t>
  </si>
  <si>
    <t>Lérida</t>
  </si>
  <si>
    <t>La Apartada</t>
  </si>
  <si>
    <t>San Cristóbal</t>
  </si>
  <si>
    <t>Fusagasugá</t>
  </si>
  <si>
    <t>Zambrano</t>
  </si>
  <si>
    <t>La Uvita</t>
  </si>
  <si>
    <t>Zipaquirá</t>
  </si>
  <si>
    <t>Génova</t>
  </si>
  <si>
    <t>Castilla la Nueva</t>
  </si>
  <si>
    <t>Unión Panamericana</t>
  </si>
  <si>
    <t>Pueblo Viejo</t>
  </si>
  <si>
    <t>Villagarzón</t>
  </si>
  <si>
    <t>Facatativá</t>
  </si>
  <si>
    <t>Puerto Libertador</t>
  </si>
  <si>
    <t>Marquetalia</t>
  </si>
  <si>
    <t>Arboleda</t>
  </si>
  <si>
    <t>Buenaventura</t>
  </si>
  <si>
    <t>Ciénaga</t>
  </si>
  <si>
    <t>Ponedera</t>
  </si>
  <si>
    <t>Hallar_Origen</t>
  </si>
  <si>
    <t>Hallar_Destino</t>
  </si>
  <si>
    <t>Filtrar_Destino</t>
  </si>
  <si>
    <t>Filtrar_Origen</t>
  </si>
  <si>
    <t>Horas (hh:mm, hh:mm, …)</t>
  </si>
  <si>
    <t xml:space="preserve">MUNICIPIO, DPTO, CÓDIGO </t>
  </si>
  <si>
    <t>Cali, Valle del Cauca, 76001</t>
  </si>
  <si>
    <t>Popayán, Cauca, 19001</t>
  </si>
  <si>
    <t>Archipiélago de San Andrés - Providencia y Santa Catalina</t>
  </si>
  <si>
    <t>dd/mmm/202x</t>
  </si>
  <si>
    <t>MEDE01.06.02.18.P07.I01</t>
  </si>
  <si>
    <t>VERSIÓN</t>
  </si>
  <si>
    <t>FECHA DE ENTRADA EN VIGENCIA</t>
  </si>
  <si>
    <r>
      <t>Duración del viaje (hh:mm)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:</t>
    </r>
  </si>
  <si>
    <r>
      <t>Tarifa ($COP)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:</t>
    </r>
  </si>
  <si>
    <r>
      <t>Fecha inicio (dd-mm-aaaa)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:</t>
    </r>
  </si>
  <si>
    <r>
      <t>Fecha fin  (dd-mm-aaaa)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:</t>
    </r>
  </si>
  <si>
    <r>
      <t>Municipio de origen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:</t>
    </r>
  </si>
  <si>
    <r>
      <t>Municipio de destino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:</t>
    </r>
  </si>
  <si>
    <r>
      <t xml:space="preserve">FORMATO PARA EL CARGUE DE LAS RUTAS CON SUS HORARIOS
</t>
    </r>
    <r>
      <rPr>
        <sz val="11"/>
        <color theme="1"/>
        <rFont val="Calibri"/>
        <family val="2"/>
        <scheme val="minor"/>
      </rPr>
      <t>(Solo se permiten rutas desde y hacia Cali, Valle del Cauca)</t>
    </r>
  </si>
  <si>
    <t>20:00</t>
  </si>
  <si>
    <t>Fecha (dd-mm-aaaa)</t>
  </si>
  <si>
    <t>09:11</t>
  </si>
  <si>
    <t>08:11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</si>
</sst>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A]dddd\,\ dd&quot; de &quot;mmmm&quot; de &quot;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Font="1"/>
    <xf numFmtId="0" fontId="16" fillId="0" borderId="0" xfId="0" applyFont="1"/>
    <xf numFmtId="0" fontId="16" fillId="0" borderId="10" xfId="0" applyFont="1" applyBorder="1"/>
    <xf numFmtId="164" fontId="0" fillId="0" borderId="0" xfId="0" applyNumberFormat="1" applyFont="1"/>
    <xf numFmtId="49" fontId="0" fillId="0" borderId="0" xfId="0" applyNumberFormat="1" applyFont="1" applyAlignment="1">
      <alignment horizontal="right"/>
    </xf>
    <xf numFmtId="0" fontId="0" fillId="33" borderId="0" xfId="0" applyFill="1"/>
    <xf numFmtId="0" fontId="16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16" fillId="0" borderId="0" xfId="0" applyFont="1" applyBorder="1"/>
    <xf numFmtId="0" fontId="0" fillId="0" borderId="0" xfId="0" applyFont="1" applyBorder="1" applyAlignment="1">
      <alignment horizontal="right"/>
    </xf>
    <xf numFmtId="49" fontId="0" fillId="0" borderId="0" xfId="0" applyNumberFormat="1" applyFont="1" applyBorder="1" applyAlignment="1">
      <alignment horizontal="right"/>
    </xf>
    <xf numFmtId="0" fontId="0" fillId="0" borderId="0" xfId="0" applyFont="1" applyBorder="1"/>
    <xf numFmtId="164" fontId="0" fillId="0" borderId="0" xfId="0" applyNumberFormat="1" applyFont="1" applyBorder="1" applyAlignment="1">
      <alignment horizontal="right"/>
    </xf>
    <xf numFmtId="49" fontId="20" fillId="0" borderId="0" xfId="0" applyNumberFormat="1" applyFont="1" applyAlignment="1">
      <alignment horizontal="right"/>
    </xf>
    <xf numFmtId="164" fontId="0" fillId="0" borderId="10" xfId="0" applyNumberFormat="1" applyFont="1" applyBorder="1" applyAlignment="1">
      <alignment horizontal="center"/>
    </xf>
    <xf numFmtId="49" fontId="16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341208</xdr:colOff>
      <xdr:row>0</xdr:row>
      <xdr:rowOff>29847</xdr:rowOff>
    </xdr:from>
    <xdr:to>
      <xdr:col>4</xdr:col>
      <xdr:colOff>1708077</xdr:colOff>
      <xdr:row>4</xdr:row>
      <xdr:rowOff>168518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B1C2BA-4B8B-4004-B11A-496DE58C1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11" t="24472" r="18657" b="33729"/>
        <a:stretch/>
      </xdr:blipFill>
      <xdr:spPr>
        <a:xfrm>
          <a:off x="341208" y="29847"/>
          <a:ext cx="1366869" cy="900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159B-3C32-4E5B-A3FB-56F233AC85F4}">
  <dimension ref="A1:I1124"/>
  <sheetViews>
    <sheetView workbookViewId="0">
      <selection activeCell="E1" sqref="E1"/>
    </sheetView>
  </sheetViews>
  <sheetFormatPr baseColWidth="10" defaultRowHeight="15" x14ac:dyDescent="0.25"/>
  <cols>
    <col min="1" max="1" width="32.5703125" customWidth="1"/>
    <col min="2" max="2" width="35.140625" customWidth="1"/>
    <col min="3" max="3" width="54.42578125" customWidth="1"/>
    <col min="4" max="4" width="30.42578125" customWidth="1"/>
    <col min="5" max="5" width="31.42578125" customWidth="1"/>
    <col min="6" max="6" width="24.28515625" customWidth="1"/>
    <col min="7" max="7" width="35.28515625" customWidth="1"/>
    <col min="8" max="8" width="15.7109375" customWidth="1"/>
    <col min="9" max="9" width="20.28515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4</v>
      </c>
      <c r="G1" s="2" t="s">
        <v>1074</v>
      </c>
      <c r="H1" s="2"/>
      <c r="I1" s="2"/>
    </row>
    <row r="2" spans="1:9" x14ac:dyDescent="0.25">
      <c r="A2" t="s">
        <v>5</v>
      </c>
      <c r="B2">
        <v>5</v>
      </c>
      <c r="C2" t="s">
        <v>6</v>
      </c>
      <c r="D2">
        <v>5.0019999999999998</v>
      </c>
      <c r="E2" t="str">
        <f>SUBSTITUTE(D2, ".", "",1)</f>
        <v>5002</v>
      </c>
      <c r="F2" t="s">
        <v>8</v>
      </c>
      <c r="G2" t="str">
        <f t="shared" ref="G2:G65" si="0">_xlfn.CONCAT(F2,", ",C2,", ",E2)</f>
        <v>Abejorral, Antioquia, 5002</v>
      </c>
    </row>
    <row r="3" spans="1:9" x14ac:dyDescent="0.25">
      <c r="A3" t="s">
        <v>17</v>
      </c>
      <c r="B3">
        <v>54</v>
      </c>
      <c r="C3" t="s">
        <v>939</v>
      </c>
      <c r="D3">
        <v>54.003</v>
      </c>
      <c r="E3" t="str">
        <f t="shared" ref="E3:E66" si="1">SUBSTITUTE(D3, ".", "",1)</f>
        <v>54003</v>
      </c>
      <c r="F3" t="s">
        <v>985</v>
      </c>
      <c r="G3" t="str">
        <f t="shared" si="0"/>
        <v>Abrego, Norte de Santander, 54003</v>
      </c>
    </row>
    <row r="4" spans="1:9" x14ac:dyDescent="0.25">
      <c r="A4" t="s">
        <v>5</v>
      </c>
      <c r="B4">
        <v>5</v>
      </c>
      <c r="C4" t="s">
        <v>6</v>
      </c>
      <c r="D4">
        <v>5.0039999999999996</v>
      </c>
      <c r="E4" t="str">
        <f t="shared" si="1"/>
        <v>5004</v>
      </c>
      <c r="F4" t="s">
        <v>9</v>
      </c>
      <c r="G4" t="str">
        <f t="shared" si="0"/>
        <v>Abriaquí, Antioquia, 5004</v>
      </c>
    </row>
    <row r="5" spans="1:9" x14ac:dyDescent="0.25">
      <c r="A5" t="s">
        <v>117</v>
      </c>
      <c r="B5">
        <v>50</v>
      </c>
      <c r="C5" t="s">
        <v>118</v>
      </c>
      <c r="D5">
        <v>50.006</v>
      </c>
      <c r="E5" t="str">
        <f t="shared" si="1"/>
        <v>50006</v>
      </c>
      <c r="F5" t="s">
        <v>594</v>
      </c>
      <c r="G5" t="str">
        <f t="shared" si="0"/>
        <v>Acacias, Meta, 50006</v>
      </c>
    </row>
    <row r="6" spans="1:9" x14ac:dyDescent="0.25">
      <c r="A6" t="s">
        <v>62</v>
      </c>
      <c r="B6">
        <v>27</v>
      </c>
      <c r="C6" t="s">
        <v>63</v>
      </c>
      <c r="D6">
        <v>27.006</v>
      </c>
      <c r="E6" t="str">
        <f t="shared" si="1"/>
        <v>27006</v>
      </c>
      <c r="F6" t="s">
        <v>505</v>
      </c>
      <c r="G6" t="str">
        <f t="shared" si="0"/>
        <v>Acandí, Chocó, 27006</v>
      </c>
    </row>
    <row r="7" spans="1:9" x14ac:dyDescent="0.25">
      <c r="A7" t="s">
        <v>316</v>
      </c>
      <c r="B7">
        <v>41</v>
      </c>
      <c r="C7" t="s">
        <v>525</v>
      </c>
      <c r="D7">
        <v>41.006</v>
      </c>
      <c r="E7" t="str">
        <f t="shared" si="1"/>
        <v>41006</v>
      </c>
      <c r="F7" t="s">
        <v>527</v>
      </c>
      <c r="G7" t="str">
        <f t="shared" si="0"/>
        <v>Acevedo, Huila, 41006</v>
      </c>
    </row>
    <row r="8" spans="1:9" x14ac:dyDescent="0.25">
      <c r="A8" t="s">
        <v>56</v>
      </c>
      <c r="B8">
        <v>13</v>
      </c>
      <c r="C8" t="s">
        <v>154</v>
      </c>
      <c r="D8">
        <v>13.006</v>
      </c>
      <c r="E8" t="str">
        <f t="shared" si="1"/>
        <v>13006</v>
      </c>
      <c r="F8" t="s">
        <v>155</v>
      </c>
      <c r="G8" t="str">
        <f t="shared" si="0"/>
        <v>Achí, Bolívar, 13006</v>
      </c>
    </row>
    <row r="9" spans="1:9" x14ac:dyDescent="0.25">
      <c r="A9" t="s">
        <v>316</v>
      </c>
      <c r="B9">
        <v>41</v>
      </c>
      <c r="C9" t="s">
        <v>525</v>
      </c>
      <c r="D9">
        <v>41.012999999999998</v>
      </c>
      <c r="E9" t="str">
        <f t="shared" si="1"/>
        <v>41013</v>
      </c>
      <c r="F9" t="s">
        <v>528</v>
      </c>
      <c r="G9" t="str">
        <f t="shared" si="0"/>
        <v>Agrado, Huila, 41013</v>
      </c>
    </row>
    <row r="10" spans="1:9" x14ac:dyDescent="0.25">
      <c r="A10" t="s">
        <v>17</v>
      </c>
      <c r="B10">
        <v>25</v>
      </c>
      <c r="C10" t="s">
        <v>409</v>
      </c>
      <c r="D10">
        <v>25.001000000000001</v>
      </c>
      <c r="E10" t="str">
        <f t="shared" si="1"/>
        <v>25001</v>
      </c>
      <c r="F10" t="s">
        <v>912</v>
      </c>
      <c r="G10" t="str">
        <f t="shared" si="0"/>
        <v>Agua de Dios, Cundinamarca, 25001</v>
      </c>
    </row>
    <row r="11" spans="1:9" x14ac:dyDescent="0.25">
      <c r="A11" t="s">
        <v>56</v>
      </c>
      <c r="B11">
        <v>20</v>
      </c>
      <c r="C11" t="s">
        <v>362</v>
      </c>
      <c r="D11">
        <v>20.010999999999999</v>
      </c>
      <c r="E11" t="str">
        <f t="shared" si="1"/>
        <v>20011</v>
      </c>
      <c r="F11" t="s">
        <v>364</v>
      </c>
      <c r="G11" t="str">
        <f t="shared" si="0"/>
        <v>Aguachica, Cesar, 20011</v>
      </c>
    </row>
    <row r="12" spans="1:9" x14ac:dyDescent="0.25">
      <c r="A12" t="s">
        <v>17</v>
      </c>
      <c r="B12">
        <v>68</v>
      </c>
      <c r="C12" t="s">
        <v>104</v>
      </c>
      <c r="D12">
        <v>68.013000000000005</v>
      </c>
      <c r="E12" t="str">
        <f t="shared" si="1"/>
        <v>68013</v>
      </c>
      <c r="F12" t="s">
        <v>680</v>
      </c>
      <c r="G12" t="str">
        <f t="shared" si="0"/>
        <v>Aguada, Santander, 68013</v>
      </c>
    </row>
    <row r="13" spans="1:9" x14ac:dyDescent="0.25">
      <c r="A13" t="s">
        <v>5</v>
      </c>
      <c r="B13">
        <v>17</v>
      </c>
      <c r="C13" t="s">
        <v>34</v>
      </c>
      <c r="D13">
        <v>17.013000000000002</v>
      </c>
      <c r="E13" t="str">
        <f t="shared" si="1"/>
        <v>17013</v>
      </c>
      <c r="F13" t="s">
        <v>291</v>
      </c>
      <c r="G13" t="str">
        <f t="shared" si="0"/>
        <v>Aguadas, Caldas, 17013</v>
      </c>
    </row>
    <row r="14" spans="1:9" x14ac:dyDescent="0.25">
      <c r="A14" t="s">
        <v>117</v>
      </c>
      <c r="B14">
        <v>85</v>
      </c>
      <c r="C14" t="s">
        <v>802</v>
      </c>
      <c r="D14">
        <v>85.01</v>
      </c>
      <c r="E14" t="str">
        <f t="shared" si="1"/>
        <v>8501</v>
      </c>
      <c r="F14" t="s">
        <v>804</v>
      </c>
      <c r="G14" t="str">
        <f t="shared" si="0"/>
        <v>Aguazul, Casanare, 8501</v>
      </c>
    </row>
    <row r="15" spans="1:9" x14ac:dyDescent="0.25">
      <c r="A15" t="s">
        <v>56</v>
      </c>
      <c r="B15">
        <v>20</v>
      </c>
      <c r="C15" t="s">
        <v>362</v>
      </c>
      <c r="D15">
        <v>20.013000000000002</v>
      </c>
      <c r="E15" t="str">
        <f t="shared" si="1"/>
        <v>20013</v>
      </c>
      <c r="F15" t="s">
        <v>365</v>
      </c>
      <c r="G15" t="str">
        <f t="shared" si="0"/>
        <v>Agustín Codazzi, Cesar, 20013</v>
      </c>
    </row>
    <row r="16" spans="1:9" x14ac:dyDescent="0.25">
      <c r="A16" t="s">
        <v>316</v>
      </c>
      <c r="B16">
        <v>41</v>
      </c>
      <c r="C16" t="s">
        <v>525</v>
      </c>
      <c r="D16">
        <v>41.015999999999998</v>
      </c>
      <c r="E16" t="str">
        <f t="shared" si="1"/>
        <v>41016</v>
      </c>
      <c r="F16" t="s">
        <v>529</v>
      </c>
      <c r="G16" t="str">
        <f t="shared" si="0"/>
        <v>Aipe, Huila, 41016</v>
      </c>
    </row>
    <row r="17" spans="1:7" x14ac:dyDescent="0.25">
      <c r="A17" t="s">
        <v>17</v>
      </c>
      <c r="B17">
        <v>25</v>
      </c>
      <c r="C17" t="s">
        <v>409</v>
      </c>
      <c r="D17">
        <v>25.018999999999998</v>
      </c>
      <c r="E17" t="str">
        <f t="shared" si="1"/>
        <v>25019</v>
      </c>
      <c r="F17" t="s">
        <v>613</v>
      </c>
      <c r="G17" t="str">
        <f t="shared" si="0"/>
        <v>Albán, Cundinamarca, 25019</v>
      </c>
    </row>
    <row r="18" spans="1:7" x14ac:dyDescent="0.25">
      <c r="A18" t="s">
        <v>62</v>
      </c>
      <c r="B18">
        <v>52</v>
      </c>
      <c r="C18" t="s">
        <v>84</v>
      </c>
      <c r="D18">
        <v>52.018999999999998</v>
      </c>
      <c r="E18" t="str">
        <f t="shared" si="1"/>
        <v>52019</v>
      </c>
      <c r="F18" t="s">
        <v>613</v>
      </c>
      <c r="G18" t="str">
        <f t="shared" si="0"/>
        <v>Albán, Nariño, 52019</v>
      </c>
    </row>
    <row r="19" spans="1:7" x14ac:dyDescent="0.25">
      <c r="A19" t="s">
        <v>316</v>
      </c>
      <c r="B19">
        <v>18</v>
      </c>
      <c r="C19" t="s">
        <v>317</v>
      </c>
      <c r="D19">
        <v>18.029</v>
      </c>
      <c r="E19" t="str">
        <f t="shared" si="1"/>
        <v>18029</v>
      </c>
      <c r="F19" t="s">
        <v>319</v>
      </c>
      <c r="G19" t="str">
        <f t="shared" si="0"/>
        <v>Albania, Caquetá, 18029</v>
      </c>
    </row>
    <row r="20" spans="1:7" x14ac:dyDescent="0.25">
      <c r="A20" t="s">
        <v>56</v>
      </c>
      <c r="B20">
        <v>44</v>
      </c>
      <c r="C20" t="s">
        <v>559</v>
      </c>
      <c r="D20">
        <v>44.034999999999997</v>
      </c>
      <c r="E20" t="str">
        <f t="shared" si="1"/>
        <v>44035</v>
      </c>
      <c r="F20" t="s">
        <v>319</v>
      </c>
      <c r="G20" t="str">
        <f t="shared" si="0"/>
        <v>Albania, La Guajira, 44035</v>
      </c>
    </row>
    <row r="21" spans="1:7" x14ac:dyDescent="0.25">
      <c r="A21" t="s">
        <v>17</v>
      </c>
      <c r="B21">
        <v>68</v>
      </c>
      <c r="C21" t="s">
        <v>104</v>
      </c>
      <c r="D21">
        <v>68.02</v>
      </c>
      <c r="E21" t="str">
        <f t="shared" si="1"/>
        <v>6802</v>
      </c>
      <c r="F21" t="s">
        <v>319</v>
      </c>
      <c r="G21" t="str">
        <f t="shared" si="0"/>
        <v>Albania, Santander, 6802</v>
      </c>
    </row>
    <row r="22" spans="1:7" x14ac:dyDescent="0.25">
      <c r="A22" t="s">
        <v>62</v>
      </c>
      <c r="B22">
        <v>76</v>
      </c>
      <c r="C22" t="s">
        <v>942</v>
      </c>
      <c r="D22">
        <v>76.02</v>
      </c>
      <c r="E22" t="str">
        <f t="shared" si="1"/>
        <v>7602</v>
      </c>
      <c r="F22" t="s">
        <v>992</v>
      </c>
      <c r="G22" t="str">
        <f t="shared" si="0"/>
        <v>Alcalá, Valle del Cauca, 7602</v>
      </c>
    </row>
    <row r="23" spans="1:7" x14ac:dyDescent="0.25">
      <c r="A23" t="s">
        <v>62</v>
      </c>
      <c r="B23">
        <v>52</v>
      </c>
      <c r="C23" t="s">
        <v>84</v>
      </c>
      <c r="D23">
        <v>52.021999999999998</v>
      </c>
      <c r="E23" t="str">
        <f t="shared" si="1"/>
        <v>52022</v>
      </c>
      <c r="F23" t="s">
        <v>614</v>
      </c>
      <c r="G23" t="str">
        <f t="shared" si="0"/>
        <v>Aldana, Nariño, 52022</v>
      </c>
    </row>
    <row r="24" spans="1:7" x14ac:dyDescent="0.25">
      <c r="A24" t="s">
        <v>5</v>
      </c>
      <c r="B24">
        <v>5</v>
      </c>
      <c r="C24" t="s">
        <v>6</v>
      </c>
      <c r="D24">
        <v>5.0209999999999999</v>
      </c>
      <c r="E24" t="str">
        <f t="shared" si="1"/>
        <v>5021</v>
      </c>
      <c r="F24" t="s">
        <v>10</v>
      </c>
      <c r="G24" t="str">
        <f t="shared" si="0"/>
        <v>Alejandría, Antioquia, 5021</v>
      </c>
    </row>
    <row r="25" spans="1:7" x14ac:dyDescent="0.25">
      <c r="A25" t="s">
        <v>56</v>
      </c>
      <c r="B25">
        <v>47</v>
      </c>
      <c r="C25" t="s">
        <v>570</v>
      </c>
      <c r="D25">
        <v>47.03</v>
      </c>
      <c r="E25" t="str">
        <f t="shared" si="1"/>
        <v>4703</v>
      </c>
      <c r="F25" t="s">
        <v>572</v>
      </c>
      <c r="G25" t="str">
        <f t="shared" si="0"/>
        <v>Algarrobo, Magdalena, 4703</v>
      </c>
    </row>
    <row r="26" spans="1:7" x14ac:dyDescent="0.25">
      <c r="A26" t="s">
        <v>316</v>
      </c>
      <c r="B26">
        <v>41</v>
      </c>
      <c r="C26" t="s">
        <v>525</v>
      </c>
      <c r="D26">
        <v>41.02</v>
      </c>
      <c r="E26" t="str">
        <f t="shared" si="1"/>
        <v>4102</v>
      </c>
      <c r="F26" t="s">
        <v>530</v>
      </c>
      <c r="G26" t="str">
        <f t="shared" si="0"/>
        <v>Algeciras, Huila, 4102</v>
      </c>
    </row>
    <row r="27" spans="1:7" x14ac:dyDescent="0.25">
      <c r="A27" t="s">
        <v>62</v>
      </c>
      <c r="B27">
        <v>19</v>
      </c>
      <c r="C27" t="s">
        <v>327</v>
      </c>
      <c r="D27">
        <v>19.021999999999998</v>
      </c>
      <c r="E27" t="str">
        <f t="shared" si="1"/>
        <v>19022</v>
      </c>
      <c r="F27" t="s">
        <v>329</v>
      </c>
      <c r="G27" t="str">
        <f t="shared" si="0"/>
        <v>Almaguer, Cauca, 19022</v>
      </c>
    </row>
    <row r="28" spans="1:7" x14ac:dyDescent="0.25">
      <c r="A28" t="s">
        <v>17</v>
      </c>
      <c r="B28">
        <v>15</v>
      </c>
      <c r="C28" t="s">
        <v>18</v>
      </c>
      <c r="D28">
        <v>15.022</v>
      </c>
      <c r="E28" t="str">
        <f t="shared" si="1"/>
        <v>15022</v>
      </c>
      <c r="F28" t="s">
        <v>187</v>
      </c>
      <c r="G28" t="str">
        <f t="shared" si="0"/>
        <v>Almeida, Boyacá, 15022</v>
      </c>
    </row>
    <row r="29" spans="1:7" x14ac:dyDescent="0.25">
      <c r="A29" t="s">
        <v>316</v>
      </c>
      <c r="B29">
        <v>73</v>
      </c>
      <c r="C29" t="s">
        <v>757</v>
      </c>
      <c r="D29">
        <v>73.024000000000001</v>
      </c>
      <c r="E29" t="str">
        <f t="shared" si="1"/>
        <v>73024</v>
      </c>
      <c r="F29" t="s">
        <v>758</v>
      </c>
      <c r="G29" t="str">
        <f t="shared" si="0"/>
        <v>Alpujarra, Tolima, 73024</v>
      </c>
    </row>
    <row r="30" spans="1:7" x14ac:dyDescent="0.25">
      <c r="A30" t="s">
        <v>316</v>
      </c>
      <c r="B30">
        <v>41</v>
      </c>
      <c r="C30" t="s">
        <v>525</v>
      </c>
      <c r="D30">
        <v>41.026000000000003</v>
      </c>
      <c r="E30" t="str">
        <f t="shared" si="1"/>
        <v>41026</v>
      </c>
      <c r="F30" t="s">
        <v>531</v>
      </c>
      <c r="G30" t="str">
        <f t="shared" si="0"/>
        <v>Altamira, Huila, 41026</v>
      </c>
    </row>
    <row r="31" spans="1:7" x14ac:dyDescent="0.25">
      <c r="A31" t="s">
        <v>62</v>
      </c>
      <c r="B31">
        <v>27</v>
      </c>
      <c r="C31" t="s">
        <v>63</v>
      </c>
      <c r="D31">
        <v>27.024999999999999</v>
      </c>
      <c r="E31" t="str">
        <f t="shared" si="1"/>
        <v>27025</v>
      </c>
      <c r="F31" t="s">
        <v>506</v>
      </c>
      <c r="G31" t="str">
        <f t="shared" si="0"/>
        <v>Alto Baudo, Chocó, 27025</v>
      </c>
    </row>
    <row r="32" spans="1:7" x14ac:dyDescent="0.25">
      <c r="A32" t="s">
        <v>56</v>
      </c>
      <c r="B32">
        <v>13</v>
      </c>
      <c r="C32" t="s">
        <v>154</v>
      </c>
      <c r="D32">
        <v>13.03</v>
      </c>
      <c r="E32" t="str">
        <f t="shared" si="1"/>
        <v>1303</v>
      </c>
      <c r="F32" t="s">
        <v>900</v>
      </c>
      <c r="G32" t="str">
        <f t="shared" si="0"/>
        <v>Altos del Rosario, Bolívar, 1303</v>
      </c>
    </row>
    <row r="33" spans="1:7" x14ac:dyDescent="0.25">
      <c r="A33" t="s">
        <v>316</v>
      </c>
      <c r="B33">
        <v>73</v>
      </c>
      <c r="C33" t="s">
        <v>757</v>
      </c>
      <c r="D33">
        <v>73.025999999999996</v>
      </c>
      <c r="E33" t="str">
        <f t="shared" si="1"/>
        <v>73026</v>
      </c>
      <c r="F33" t="s">
        <v>759</v>
      </c>
      <c r="G33" t="str">
        <f t="shared" si="0"/>
        <v>Alvarado, Tolima, 73026</v>
      </c>
    </row>
    <row r="34" spans="1:7" x14ac:dyDescent="0.25">
      <c r="A34" t="s">
        <v>5</v>
      </c>
      <c r="B34">
        <v>5</v>
      </c>
      <c r="C34" t="s">
        <v>6</v>
      </c>
      <c r="D34">
        <v>5.03</v>
      </c>
      <c r="E34" t="str">
        <f t="shared" si="1"/>
        <v>503</v>
      </c>
      <c r="F34" t="s">
        <v>11</v>
      </c>
      <c r="G34" t="str">
        <f t="shared" si="0"/>
        <v>Amagá, Antioquia, 503</v>
      </c>
    </row>
    <row r="35" spans="1:7" x14ac:dyDescent="0.25">
      <c r="A35" t="s">
        <v>5</v>
      </c>
      <c r="B35">
        <v>5</v>
      </c>
      <c r="C35" t="s">
        <v>6</v>
      </c>
      <c r="D35">
        <v>5.0309999999999997</v>
      </c>
      <c r="E35" t="str">
        <f t="shared" si="1"/>
        <v>5031</v>
      </c>
      <c r="F35" t="s">
        <v>12</v>
      </c>
      <c r="G35" t="str">
        <f t="shared" si="0"/>
        <v>Amalfi, Antioquia, 5031</v>
      </c>
    </row>
    <row r="36" spans="1:7" x14ac:dyDescent="0.25">
      <c r="A36" t="s">
        <v>316</v>
      </c>
      <c r="B36">
        <v>73</v>
      </c>
      <c r="C36" t="s">
        <v>757</v>
      </c>
      <c r="D36">
        <v>73.03</v>
      </c>
      <c r="E36" t="str">
        <f t="shared" si="1"/>
        <v>7303</v>
      </c>
      <c r="F36" t="s">
        <v>760</v>
      </c>
      <c r="G36" t="str">
        <f t="shared" si="0"/>
        <v>Ambalema, Tolima, 7303</v>
      </c>
    </row>
    <row r="37" spans="1:7" x14ac:dyDescent="0.25">
      <c r="A37" t="s">
        <v>17</v>
      </c>
      <c r="B37">
        <v>25</v>
      </c>
      <c r="C37" t="s">
        <v>409</v>
      </c>
      <c r="D37">
        <v>25.035</v>
      </c>
      <c r="E37" t="str">
        <f t="shared" si="1"/>
        <v>25035</v>
      </c>
      <c r="F37" t="s">
        <v>410</v>
      </c>
      <c r="G37" t="str">
        <f t="shared" si="0"/>
        <v>Anapoima, Cundinamarca, 25035</v>
      </c>
    </row>
    <row r="38" spans="1:7" x14ac:dyDescent="0.25">
      <c r="A38" t="s">
        <v>62</v>
      </c>
      <c r="B38">
        <v>52</v>
      </c>
      <c r="C38" t="s">
        <v>84</v>
      </c>
      <c r="D38">
        <v>52.036000000000001</v>
      </c>
      <c r="E38" t="str">
        <f t="shared" si="1"/>
        <v>52036</v>
      </c>
      <c r="F38" t="s">
        <v>615</v>
      </c>
      <c r="G38" t="str">
        <f t="shared" si="0"/>
        <v>Ancuyá, Nariño, 52036</v>
      </c>
    </row>
    <row r="39" spans="1:7" x14ac:dyDescent="0.25">
      <c r="A39" t="s">
        <v>62</v>
      </c>
      <c r="B39">
        <v>76</v>
      </c>
      <c r="C39" t="s">
        <v>942</v>
      </c>
      <c r="D39">
        <v>76.036000000000001</v>
      </c>
      <c r="E39" t="str">
        <f t="shared" si="1"/>
        <v>76036</v>
      </c>
      <c r="F39" t="s">
        <v>983</v>
      </c>
      <c r="G39" t="str">
        <f t="shared" si="0"/>
        <v>Andalucía, Valle del Cauca, 76036</v>
      </c>
    </row>
    <row r="40" spans="1:7" x14ac:dyDescent="0.25">
      <c r="A40" t="s">
        <v>5</v>
      </c>
      <c r="B40">
        <v>5</v>
      </c>
      <c r="C40" t="s">
        <v>6</v>
      </c>
      <c r="D40">
        <v>5.0339999999999998</v>
      </c>
      <c r="E40" t="str">
        <f t="shared" si="1"/>
        <v>5034</v>
      </c>
      <c r="F40" t="s">
        <v>13</v>
      </c>
      <c r="G40" t="str">
        <f t="shared" si="0"/>
        <v>Andes, Antioquia, 5034</v>
      </c>
    </row>
    <row r="41" spans="1:7" x14ac:dyDescent="0.25">
      <c r="A41" t="s">
        <v>5</v>
      </c>
      <c r="B41">
        <v>5</v>
      </c>
      <c r="C41" t="s">
        <v>6</v>
      </c>
      <c r="D41">
        <v>5.0359999999999996</v>
      </c>
      <c r="E41" t="str">
        <f t="shared" si="1"/>
        <v>5036</v>
      </c>
      <c r="F41" t="s">
        <v>14</v>
      </c>
      <c r="G41" t="str">
        <f t="shared" si="0"/>
        <v>Angelópolis, Antioquia, 5036</v>
      </c>
    </row>
    <row r="42" spans="1:7" x14ac:dyDescent="0.25">
      <c r="A42" t="s">
        <v>5</v>
      </c>
      <c r="B42">
        <v>5</v>
      </c>
      <c r="C42" t="s">
        <v>6</v>
      </c>
      <c r="D42">
        <v>5.0380000000000003</v>
      </c>
      <c r="E42" t="str">
        <f t="shared" si="1"/>
        <v>5038</v>
      </c>
      <c r="F42" t="s">
        <v>15</v>
      </c>
      <c r="G42" t="str">
        <f t="shared" si="0"/>
        <v>Angostura, Antioquia, 5038</v>
      </c>
    </row>
    <row r="43" spans="1:7" x14ac:dyDescent="0.25">
      <c r="A43" t="s">
        <v>17</v>
      </c>
      <c r="B43">
        <v>25</v>
      </c>
      <c r="C43" t="s">
        <v>409</v>
      </c>
      <c r="D43">
        <v>25.04</v>
      </c>
      <c r="E43" t="str">
        <f t="shared" si="1"/>
        <v>2504</v>
      </c>
      <c r="F43" t="s">
        <v>1015</v>
      </c>
      <c r="G43" t="str">
        <f t="shared" si="0"/>
        <v>Anolaima, Cundinamarca, 2504</v>
      </c>
    </row>
    <row r="44" spans="1:7" x14ac:dyDescent="0.25">
      <c r="A44" t="s">
        <v>5</v>
      </c>
      <c r="B44">
        <v>5</v>
      </c>
      <c r="C44" t="s">
        <v>6</v>
      </c>
      <c r="D44">
        <v>5.04</v>
      </c>
      <c r="E44" t="str">
        <f t="shared" si="1"/>
        <v>504</v>
      </c>
      <c r="F44" t="s">
        <v>16</v>
      </c>
      <c r="G44" t="str">
        <f t="shared" si="0"/>
        <v>Anorí, Antioquia, 504</v>
      </c>
    </row>
    <row r="45" spans="1:7" x14ac:dyDescent="0.25">
      <c r="A45" t="s">
        <v>5</v>
      </c>
      <c r="B45">
        <v>17</v>
      </c>
      <c r="C45" t="s">
        <v>34</v>
      </c>
      <c r="D45">
        <v>17.042000000000002</v>
      </c>
      <c r="E45" t="str">
        <f t="shared" si="1"/>
        <v>17042</v>
      </c>
      <c r="F45" t="s">
        <v>292</v>
      </c>
      <c r="G45" t="str">
        <f t="shared" si="0"/>
        <v>Anserma, Caldas, 17042</v>
      </c>
    </row>
    <row r="46" spans="1:7" x14ac:dyDescent="0.25">
      <c r="A46" t="s">
        <v>62</v>
      </c>
      <c r="B46">
        <v>76</v>
      </c>
      <c r="C46" t="s">
        <v>942</v>
      </c>
      <c r="D46">
        <v>76.040999999999997</v>
      </c>
      <c r="E46" t="str">
        <f t="shared" si="1"/>
        <v>76041</v>
      </c>
      <c r="F46" t="s">
        <v>962</v>
      </c>
      <c r="G46" t="str">
        <f t="shared" si="0"/>
        <v>Ansermanuevo, Valle del Cauca, 76041</v>
      </c>
    </row>
    <row r="47" spans="1:7" x14ac:dyDescent="0.25">
      <c r="A47" t="s">
        <v>5</v>
      </c>
      <c r="B47">
        <v>5</v>
      </c>
      <c r="C47" t="s">
        <v>6</v>
      </c>
      <c r="D47">
        <v>5.0439999999999996</v>
      </c>
      <c r="E47" t="str">
        <f t="shared" si="1"/>
        <v>5044</v>
      </c>
      <c r="F47" t="s">
        <v>20</v>
      </c>
      <c r="G47" t="str">
        <f t="shared" si="0"/>
        <v>Anza, Antioquia, 5044</v>
      </c>
    </row>
    <row r="48" spans="1:7" x14ac:dyDescent="0.25">
      <c r="A48" t="s">
        <v>316</v>
      </c>
      <c r="B48">
        <v>73</v>
      </c>
      <c r="C48" t="s">
        <v>757</v>
      </c>
      <c r="D48">
        <v>73.043000000000006</v>
      </c>
      <c r="E48" t="str">
        <f t="shared" si="1"/>
        <v>73043</v>
      </c>
      <c r="F48" t="s">
        <v>1020</v>
      </c>
      <c r="G48" t="str">
        <f t="shared" si="0"/>
        <v>Anzoátegui, Tolima, 73043</v>
      </c>
    </row>
    <row r="49" spans="1:7" x14ac:dyDescent="0.25">
      <c r="A49" t="s">
        <v>5</v>
      </c>
      <c r="B49">
        <v>5</v>
      </c>
      <c r="C49" t="s">
        <v>6</v>
      </c>
      <c r="D49">
        <v>5.0449999999999999</v>
      </c>
      <c r="E49" t="str">
        <f t="shared" si="1"/>
        <v>5045</v>
      </c>
      <c r="F49" t="s">
        <v>21</v>
      </c>
      <c r="G49" t="str">
        <f t="shared" si="0"/>
        <v>Apartadó, Antioquia, 5045</v>
      </c>
    </row>
    <row r="50" spans="1:7" x14ac:dyDescent="0.25">
      <c r="A50" t="s">
        <v>5</v>
      </c>
      <c r="B50">
        <v>66</v>
      </c>
      <c r="C50" t="s">
        <v>308</v>
      </c>
      <c r="D50">
        <v>66.045000000000002</v>
      </c>
      <c r="E50" t="str">
        <f t="shared" si="1"/>
        <v>66045</v>
      </c>
      <c r="F50" t="s">
        <v>669</v>
      </c>
      <c r="G50" t="str">
        <f t="shared" si="0"/>
        <v>Apía, Risaralda, 66045</v>
      </c>
    </row>
    <row r="51" spans="1:7" x14ac:dyDescent="0.25">
      <c r="A51" t="s">
        <v>17</v>
      </c>
      <c r="B51">
        <v>25</v>
      </c>
      <c r="C51" t="s">
        <v>409</v>
      </c>
      <c r="D51">
        <v>25.599</v>
      </c>
      <c r="E51" t="str">
        <f t="shared" si="1"/>
        <v>25599</v>
      </c>
      <c r="F51" t="s">
        <v>471</v>
      </c>
      <c r="G51" t="str">
        <f t="shared" si="0"/>
        <v>Apulo, Cundinamarca, 25599</v>
      </c>
    </row>
    <row r="52" spans="1:7" x14ac:dyDescent="0.25">
      <c r="A52" t="s">
        <v>17</v>
      </c>
      <c r="B52">
        <v>15</v>
      </c>
      <c r="C52" t="s">
        <v>18</v>
      </c>
      <c r="D52">
        <v>15.047000000000001</v>
      </c>
      <c r="E52" t="str">
        <f t="shared" si="1"/>
        <v>15047</v>
      </c>
      <c r="F52" t="s">
        <v>188</v>
      </c>
      <c r="G52" t="str">
        <f t="shared" si="0"/>
        <v>Aquitania, Boyacá, 15047</v>
      </c>
    </row>
    <row r="53" spans="1:7" x14ac:dyDescent="0.25">
      <c r="A53" t="s">
        <v>56</v>
      </c>
      <c r="B53">
        <v>47</v>
      </c>
      <c r="C53" t="s">
        <v>570</v>
      </c>
      <c r="D53">
        <v>47.052999999999997</v>
      </c>
      <c r="E53" t="str">
        <f t="shared" si="1"/>
        <v>47053</v>
      </c>
      <c r="F53" t="s">
        <v>573</v>
      </c>
      <c r="G53" t="str">
        <f t="shared" si="0"/>
        <v>Aracataca, Magdalena, 47053</v>
      </c>
    </row>
    <row r="54" spans="1:7" x14ac:dyDescent="0.25">
      <c r="A54" t="s">
        <v>5</v>
      </c>
      <c r="B54">
        <v>17</v>
      </c>
      <c r="C54" t="s">
        <v>34</v>
      </c>
      <c r="D54">
        <v>17.05</v>
      </c>
      <c r="E54" t="str">
        <f t="shared" si="1"/>
        <v>1705</v>
      </c>
      <c r="F54" t="s">
        <v>293</v>
      </c>
      <c r="G54" t="str">
        <f t="shared" si="0"/>
        <v>Aranzazu, Caldas, 1705</v>
      </c>
    </row>
    <row r="55" spans="1:7" x14ac:dyDescent="0.25">
      <c r="A55" t="s">
        <v>17</v>
      </c>
      <c r="B55">
        <v>68</v>
      </c>
      <c r="C55" t="s">
        <v>104</v>
      </c>
      <c r="D55">
        <v>68.051000000000002</v>
      </c>
      <c r="E55" t="str">
        <f t="shared" si="1"/>
        <v>68051</v>
      </c>
      <c r="F55" t="s">
        <v>681</v>
      </c>
      <c r="G55" t="str">
        <f t="shared" si="0"/>
        <v>Aratoca, Santander, 68051</v>
      </c>
    </row>
    <row r="56" spans="1:7" x14ac:dyDescent="0.25">
      <c r="A56" t="s">
        <v>117</v>
      </c>
      <c r="B56">
        <v>81</v>
      </c>
      <c r="C56" t="s">
        <v>795</v>
      </c>
      <c r="D56">
        <v>81.001000000000005</v>
      </c>
      <c r="E56" t="str">
        <f t="shared" si="1"/>
        <v>81001</v>
      </c>
      <c r="F56" t="s">
        <v>795</v>
      </c>
      <c r="G56" t="str">
        <f t="shared" si="0"/>
        <v>Arauca, Arauca, 81001</v>
      </c>
    </row>
    <row r="57" spans="1:7" x14ac:dyDescent="0.25">
      <c r="A57" t="s">
        <v>117</v>
      </c>
      <c r="B57">
        <v>81</v>
      </c>
      <c r="C57" t="s">
        <v>795</v>
      </c>
      <c r="D57">
        <v>81.064999999999998</v>
      </c>
      <c r="E57" t="str">
        <f t="shared" si="1"/>
        <v>81065</v>
      </c>
      <c r="F57" t="s">
        <v>796</v>
      </c>
      <c r="G57" t="str">
        <f t="shared" si="0"/>
        <v>Arauquita, Arauca, 81065</v>
      </c>
    </row>
    <row r="58" spans="1:7" x14ac:dyDescent="0.25">
      <c r="A58" t="s">
        <v>17</v>
      </c>
      <c r="B58">
        <v>25</v>
      </c>
      <c r="C58" t="s">
        <v>409</v>
      </c>
      <c r="D58">
        <v>25.053000000000001</v>
      </c>
      <c r="E58" t="str">
        <f t="shared" si="1"/>
        <v>25053</v>
      </c>
      <c r="F58" t="s">
        <v>411</v>
      </c>
      <c r="G58" t="str">
        <f t="shared" si="0"/>
        <v>Arbeláez, Cundinamarca, 25053</v>
      </c>
    </row>
    <row r="59" spans="1:7" x14ac:dyDescent="0.25">
      <c r="A59" t="s">
        <v>62</v>
      </c>
      <c r="B59">
        <v>52</v>
      </c>
      <c r="C59" t="s">
        <v>84</v>
      </c>
      <c r="D59">
        <v>52.051000000000002</v>
      </c>
      <c r="E59" t="str">
        <f t="shared" si="1"/>
        <v>52051</v>
      </c>
      <c r="F59" t="s">
        <v>1065</v>
      </c>
      <c r="G59" t="str">
        <f t="shared" si="0"/>
        <v>Arboleda, Nariño, 52051</v>
      </c>
    </row>
    <row r="60" spans="1:7" x14ac:dyDescent="0.25">
      <c r="A60" t="s">
        <v>17</v>
      </c>
      <c r="B60">
        <v>54</v>
      </c>
      <c r="C60" t="s">
        <v>939</v>
      </c>
      <c r="D60">
        <v>54.051000000000002</v>
      </c>
      <c r="E60" t="str">
        <f t="shared" si="1"/>
        <v>54051</v>
      </c>
      <c r="F60" t="s">
        <v>959</v>
      </c>
      <c r="G60" t="str">
        <f t="shared" si="0"/>
        <v>Arboledas, Norte de Santander, 54051</v>
      </c>
    </row>
    <row r="61" spans="1:7" x14ac:dyDescent="0.25">
      <c r="A61" t="s">
        <v>5</v>
      </c>
      <c r="B61">
        <v>5</v>
      </c>
      <c r="C61" t="s">
        <v>6</v>
      </c>
      <c r="D61">
        <v>5.0510000000000002</v>
      </c>
      <c r="E61" t="str">
        <f t="shared" si="1"/>
        <v>5051</v>
      </c>
      <c r="F61" t="s">
        <v>22</v>
      </c>
      <c r="G61" t="str">
        <f t="shared" si="0"/>
        <v>Arboletes, Antioquia, 5051</v>
      </c>
    </row>
    <row r="62" spans="1:7" x14ac:dyDescent="0.25">
      <c r="A62" t="s">
        <v>17</v>
      </c>
      <c r="B62">
        <v>15</v>
      </c>
      <c r="C62" t="s">
        <v>18</v>
      </c>
      <c r="D62">
        <v>15.051</v>
      </c>
      <c r="E62" t="str">
        <f t="shared" si="1"/>
        <v>15051</v>
      </c>
      <c r="F62" t="s">
        <v>189</v>
      </c>
      <c r="G62" t="str">
        <f t="shared" si="0"/>
        <v>Arcabuco, Boyacá, 15051</v>
      </c>
    </row>
    <row r="63" spans="1:7" x14ac:dyDescent="0.25">
      <c r="A63" t="s">
        <v>56</v>
      </c>
      <c r="B63">
        <v>13</v>
      </c>
      <c r="C63" t="s">
        <v>154</v>
      </c>
      <c r="D63">
        <v>13.042</v>
      </c>
      <c r="E63" t="str">
        <f t="shared" si="1"/>
        <v>13042</v>
      </c>
      <c r="F63" t="s">
        <v>156</v>
      </c>
      <c r="G63" t="str">
        <f t="shared" si="0"/>
        <v>Arenal, Bolívar, 13042</v>
      </c>
    </row>
    <row r="64" spans="1:7" x14ac:dyDescent="0.25">
      <c r="A64" t="s">
        <v>5</v>
      </c>
      <c r="B64">
        <v>5</v>
      </c>
      <c r="C64" t="s">
        <v>6</v>
      </c>
      <c r="D64">
        <v>5.0549999999999997</v>
      </c>
      <c r="E64" t="str">
        <f t="shared" si="1"/>
        <v>5055</v>
      </c>
      <c r="F64" t="s">
        <v>23</v>
      </c>
      <c r="G64" t="str">
        <f t="shared" si="0"/>
        <v>Argelia, Antioquia, 5055</v>
      </c>
    </row>
    <row r="65" spans="1:7" x14ac:dyDescent="0.25">
      <c r="A65" t="s">
        <v>62</v>
      </c>
      <c r="B65">
        <v>19</v>
      </c>
      <c r="C65" t="s">
        <v>327</v>
      </c>
      <c r="D65">
        <v>19.05</v>
      </c>
      <c r="E65" t="str">
        <f t="shared" si="1"/>
        <v>1905</v>
      </c>
      <c r="F65" t="s">
        <v>23</v>
      </c>
      <c r="G65" t="str">
        <f t="shared" si="0"/>
        <v>Argelia, Cauca, 1905</v>
      </c>
    </row>
    <row r="66" spans="1:7" x14ac:dyDescent="0.25">
      <c r="A66" t="s">
        <v>62</v>
      </c>
      <c r="B66">
        <v>76</v>
      </c>
      <c r="C66" t="s">
        <v>942</v>
      </c>
      <c r="D66">
        <v>76.054000000000002</v>
      </c>
      <c r="E66" t="str">
        <f t="shared" si="1"/>
        <v>76054</v>
      </c>
      <c r="F66" t="s">
        <v>23</v>
      </c>
      <c r="G66" t="str">
        <f t="shared" ref="G66:G129" si="2">_xlfn.CONCAT(F66,", ",C66,", ",E66)</f>
        <v>Argelia, Valle del Cauca, 76054</v>
      </c>
    </row>
    <row r="67" spans="1:7" x14ac:dyDescent="0.25">
      <c r="A67" t="s">
        <v>56</v>
      </c>
      <c r="B67">
        <v>47</v>
      </c>
      <c r="C67" t="s">
        <v>570</v>
      </c>
      <c r="D67">
        <v>47.058</v>
      </c>
      <c r="E67" t="str">
        <f t="shared" ref="E67:E130" si="3">SUBSTITUTE(D67, ".", "",1)</f>
        <v>47058</v>
      </c>
      <c r="F67" t="s">
        <v>574</v>
      </c>
      <c r="G67" t="str">
        <f t="shared" si="2"/>
        <v>Ariguaní, Magdalena, 47058</v>
      </c>
    </row>
    <row r="68" spans="1:7" x14ac:dyDescent="0.25">
      <c r="A68" t="s">
        <v>56</v>
      </c>
      <c r="B68">
        <v>13</v>
      </c>
      <c r="C68" t="s">
        <v>154</v>
      </c>
      <c r="D68">
        <v>13.052</v>
      </c>
      <c r="E68" t="str">
        <f t="shared" si="3"/>
        <v>13052</v>
      </c>
      <c r="F68" t="s">
        <v>157</v>
      </c>
      <c r="G68" t="str">
        <f t="shared" si="2"/>
        <v>Arjona, Bolívar, 13052</v>
      </c>
    </row>
    <row r="69" spans="1:7" x14ac:dyDescent="0.25">
      <c r="A69" t="s">
        <v>5</v>
      </c>
      <c r="B69">
        <v>5</v>
      </c>
      <c r="C69" t="s">
        <v>6</v>
      </c>
      <c r="D69">
        <v>5.0590000000000002</v>
      </c>
      <c r="E69" t="str">
        <f t="shared" si="3"/>
        <v>5059</v>
      </c>
      <c r="F69" t="s">
        <v>24</v>
      </c>
      <c r="G69" t="str">
        <f t="shared" si="2"/>
        <v>Armenia, Antioquia, 5059</v>
      </c>
    </row>
    <row r="70" spans="1:7" x14ac:dyDescent="0.25">
      <c r="A70" t="s">
        <v>5</v>
      </c>
      <c r="B70">
        <v>63</v>
      </c>
      <c r="C70" t="s">
        <v>660</v>
      </c>
      <c r="D70">
        <v>63.000999999999998</v>
      </c>
      <c r="E70" t="str">
        <f t="shared" si="3"/>
        <v>63001</v>
      </c>
      <c r="F70" t="s">
        <v>24</v>
      </c>
      <c r="G70" t="str">
        <f t="shared" si="2"/>
        <v>Armenia, Quindío, 63001</v>
      </c>
    </row>
    <row r="71" spans="1:7" x14ac:dyDescent="0.25">
      <c r="A71" t="s">
        <v>316</v>
      </c>
      <c r="B71">
        <v>73</v>
      </c>
      <c r="C71" t="s">
        <v>757</v>
      </c>
      <c r="D71">
        <v>73.055000000000007</v>
      </c>
      <c r="E71" t="str">
        <f t="shared" si="3"/>
        <v>73055</v>
      </c>
      <c r="F71" t="s">
        <v>761</v>
      </c>
      <c r="G71" t="str">
        <f t="shared" si="2"/>
        <v>Armero, Tolima, 73055</v>
      </c>
    </row>
    <row r="72" spans="1:7" x14ac:dyDescent="0.25">
      <c r="A72" t="s">
        <v>56</v>
      </c>
      <c r="B72">
        <v>13</v>
      </c>
      <c r="C72" t="s">
        <v>154</v>
      </c>
      <c r="D72">
        <v>13.061999999999999</v>
      </c>
      <c r="E72" t="str">
        <f t="shared" si="3"/>
        <v>13062</v>
      </c>
      <c r="F72" t="s">
        <v>158</v>
      </c>
      <c r="G72" t="str">
        <f t="shared" si="2"/>
        <v>Arroyohondo, Bolívar, 13062</v>
      </c>
    </row>
    <row r="73" spans="1:7" x14ac:dyDescent="0.25">
      <c r="A73" t="s">
        <v>56</v>
      </c>
      <c r="B73">
        <v>20</v>
      </c>
      <c r="C73" t="s">
        <v>362</v>
      </c>
      <c r="D73">
        <v>20.032</v>
      </c>
      <c r="E73" t="str">
        <f t="shared" si="3"/>
        <v>20032</v>
      </c>
      <c r="F73" t="s">
        <v>366</v>
      </c>
      <c r="G73" t="str">
        <f t="shared" si="2"/>
        <v>Astrea, Cesar, 20032</v>
      </c>
    </row>
    <row r="74" spans="1:7" x14ac:dyDescent="0.25">
      <c r="A74" t="s">
        <v>316</v>
      </c>
      <c r="B74">
        <v>73</v>
      </c>
      <c r="C74" t="s">
        <v>757</v>
      </c>
      <c r="D74">
        <v>73.066999999999993</v>
      </c>
      <c r="E74" t="str">
        <f t="shared" si="3"/>
        <v>73067</v>
      </c>
      <c r="F74" t="s">
        <v>762</v>
      </c>
      <c r="G74" t="str">
        <f t="shared" si="2"/>
        <v>Ataco, Tolima, 73067</v>
      </c>
    </row>
    <row r="75" spans="1:7" x14ac:dyDescent="0.25">
      <c r="A75" t="s">
        <v>62</v>
      </c>
      <c r="B75">
        <v>27</v>
      </c>
      <c r="C75" t="s">
        <v>63</v>
      </c>
      <c r="D75">
        <v>27.05</v>
      </c>
      <c r="E75" t="str">
        <f t="shared" si="3"/>
        <v>2705</v>
      </c>
      <c r="F75" t="s">
        <v>507</v>
      </c>
      <c r="G75" t="str">
        <f t="shared" si="2"/>
        <v>Atrato, Chocó, 2705</v>
      </c>
    </row>
    <row r="76" spans="1:7" x14ac:dyDescent="0.25">
      <c r="A76" t="s">
        <v>56</v>
      </c>
      <c r="B76">
        <v>23</v>
      </c>
      <c r="C76" t="s">
        <v>57</v>
      </c>
      <c r="D76">
        <v>23.068000000000001</v>
      </c>
      <c r="E76" t="str">
        <f t="shared" si="3"/>
        <v>23068</v>
      </c>
      <c r="F76" t="s">
        <v>387</v>
      </c>
      <c r="G76" t="str">
        <f t="shared" si="2"/>
        <v>Ayapel, Córdoba, 23068</v>
      </c>
    </row>
    <row r="77" spans="1:7" x14ac:dyDescent="0.25">
      <c r="A77" t="s">
        <v>62</v>
      </c>
      <c r="B77">
        <v>27</v>
      </c>
      <c r="C77" t="s">
        <v>63</v>
      </c>
      <c r="D77">
        <v>27.073</v>
      </c>
      <c r="E77" t="str">
        <f t="shared" si="3"/>
        <v>27073</v>
      </c>
      <c r="F77" t="s">
        <v>508</v>
      </c>
      <c r="G77" t="str">
        <f t="shared" si="2"/>
        <v>Bagadó, Chocó, 27073</v>
      </c>
    </row>
    <row r="78" spans="1:7" x14ac:dyDescent="0.25">
      <c r="A78" t="s">
        <v>62</v>
      </c>
      <c r="B78">
        <v>27</v>
      </c>
      <c r="C78" t="s">
        <v>63</v>
      </c>
      <c r="D78">
        <v>27.074999999999999</v>
      </c>
      <c r="E78" t="str">
        <f t="shared" si="3"/>
        <v>27075</v>
      </c>
      <c r="F78" t="s">
        <v>509</v>
      </c>
      <c r="G78" t="str">
        <f t="shared" si="2"/>
        <v>Bahía Solano, Chocó, 27075</v>
      </c>
    </row>
    <row r="79" spans="1:7" x14ac:dyDescent="0.25">
      <c r="A79" t="s">
        <v>62</v>
      </c>
      <c r="B79">
        <v>27</v>
      </c>
      <c r="C79" t="s">
        <v>63</v>
      </c>
      <c r="D79">
        <v>27.077000000000002</v>
      </c>
      <c r="E79" t="str">
        <f t="shared" si="3"/>
        <v>27077</v>
      </c>
      <c r="F79" t="s">
        <v>510</v>
      </c>
      <c r="G79" t="str">
        <f t="shared" si="2"/>
        <v>Bajo Baudó, Chocó, 27077</v>
      </c>
    </row>
    <row r="80" spans="1:7" x14ac:dyDescent="0.25">
      <c r="A80" t="s">
        <v>62</v>
      </c>
      <c r="B80">
        <v>19</v>
      </c>
      <c r="C80" t="s">
        <v>327</v>
      </c>
      <c r="D80">
        <v>19.074999999999999</v>
      </c>
      <c r="E80" t="str">
        <f t="shared" si="3"/>
        <v>19075</v>
      </c>
      <c r="F80" t="s">
        <v>330</v>
      </c>
      <c r="G80" t="str">
        <f t="shared" si="2"/>
        <v>Balboa, Cauca, 19075</v>
      </c>
    </row>
    <row r="81" spans="1:7" x14ac:dyDescent="0.25">
      <c r="A81" t="s">
        <v>5</v>
      </c>
      <c r="B81">
        <v>66</v>
      </c>
      <c r="C81" t="s">
        <v>308</v>
      </c>
      <c r="D81">
        <v>66.075000000000003</v>
      </c>
      <c r="E81" t="str">
        <f t="shared" si="3"/>
        <v>66075</v>
      </c>
      <c r="F81" t="s">
        <v>330</v>
      </c>
      <c r="G81" t="str">
        <f t="shared" si="2"/>
        <v>Balboa, Risaralda, 66075</v>
      </c>
    </row>
    <row r="82" spans="1:7" x14ac:dyDescent="0.25">
      <c r="A82" t="s">
        <v>56</v>
      </c>
      <c r="B82">
        <v>8</v>
      </c>
      <c r="C82" t="s">
        <v>137</v>
      </c>
      <c r="D82">
        <v>8.0779999999999994</v>
      </c>
      <c r="E82" t="str">
        <f t="shared" si="3"/>
        <v>8078</v>
      </c>
      <c r="F82" t="s">
        <v>139</v>
      </c>
      <c r="G82" t="str">
        <f t="shared" si="2"/>
        <v>Baranoa, Atlántico, 8078</v>
      </c>
    </row>
    <row r="83" spans="1:7" x14ac:dyDescent="0.25">
      <c r="A83" t="s">
        <v>316</v>
      </c>
      <c r="B83">
        <v>41</v>
      </c>
      <c r="C83" t="s">
        <v>525</v>
      </c>
      <c r="D83">
        <v>41.078000000000003</v>
      </c>
      <c r="E83" t="str">
        <f t="shared" si="3"/>
        <v>41078</v>
      </c>
      <c r="F83" t="s">
        <v>532</v>
      </c>
      <c r="G83" t="str">
        <f t="shared" si="2"/>
        <v>Baraya, Huila, 41078</v>
      </c>
    </row>
    <row r="84" spans="1:7" x14ac:dyDescent="0.25">
      <c r="A84" t="s">
        <v>62</v>
      </c>
      <c r="B84">
        <v>52</v>
      </c>
      <c r="C84" t="s">
        <v>84</v>
      </c>
      <c r="D84">
        <v>52.079000000000001</v>
      </c>
      <c r="E84" t="str">
        <f t="shared" si="3"/>
        <v>52079</v>
      </c>
      <c r="F84" t="s">
        <v>616</v>
      </c>
      <c r="G84" t="str">
        <f t="shared" si="2"/>
        <v>Barbacoas, Nariño, 52079</v>
      </c>
    </row>
    <row r="85" spans="1:7" x14ac:dyDescent="0.25">
      <c r="A85" t="s">
        <v>5</v>
      </c>
      <c r="B85">
        <v>5</v>
      </c>
      <c r="C85" t="s">
        <v>6</v>
      </c>
      <c r="D85">
        <v>5.0789999999999997</v>
      </c>
      <c r="E85" t="str">
        <f t="shared" si="3"/>
        <v>5079</v>
      </c>
      <c r="F85" t="s">
        <v>25</v>
      </c>
      <c r="G85" t="str">
        <f t="shared" si="2"/>
        <v>Barbosa, Antioquia, 5079</v>
      </c>
    </row>
    <row r="86" spans="1:7" x14ac:dyDescent="0.25">
      <c r="A86" t="s">
        <v>17</v>
      </c>
      <c r="B86">
        <v>68</v>
      </c>
      <c r="C86" t="s">
        <v>104</v>
      </c>
      <c r="D86">
        <v>68.076999999999998</v>
      </c>
      <c r="E86" t="str">
        <f t="shared" si="3"/>
        <v>68077</v>
      </c>
      <c r="F86" t="s">
        <v>25</v>
      </c>
      <c r="G86" t="str">
        <f t="shared" si="2"/>
        <v>Barbosa, Santander, 68077</v>
      </c>
    </row>
    <row r="87" spans="1:7" x14ac:dyDescent="0.25">
      <c r="A87" t="s">
        <v>17</v>
      </c>
      <c r="B87">
        <v>68</v>
      </c>
      <c r="C87" t="s">
        <v>104</v>
      </c>
      <c r="D87">
        <v>68.078999999999994</v>
      </c>
      <c r="E87" t="str">
        <f t="shared" si="3"/>
        <v>68079</v>
      </c>
      <c r="F87" t="s">
        <v>682</v>
      </c>
      <c r="G87" t="str">
        <f t="shared" si="2"/>
        <v>Barichara, Santander, 68079</v>
      </c>
    </row>
    <row r="88" spans="1:7" x14ac:dyDescent="0.25">
      <c r="A88" t="s">
        <v>117</v>
      </c>
      <c r="B88">
        <v>50</v>
      </c>
      <c r="C88" t="s">
        <v>118</v>
      </c>
      <c r="D88">
        <v>50.11</v>
      </c>
      <c r="E88" t="str">
        <f t="shared" si="3"/>
        <v>5011</v>
      </c>
      <c r="F88" t="s">
        <v>854</v>
      </c>
      <c r="G88" t="str">
        <f t="shared" si="2"/>
        <v>Barranca de Upía, Meta, 5011</v>
      </c>
    </row>
    <row r="89" spans="1:7" x14ac:dyDescent="0.25">
      <c r="A89" t="s">
        <v>17</v>
      </c>
      <c r="B89">
        <v>68</v>
      </c>
      <c r="C89" t="s">
        <v>104</v>
      </c>
      <c r="D89">
        <v>68.081000000000003</v>
      </c>
      <c r="E89" t="str">
        <f t="shared" si="3"/>
        <v>68081</v>
      </c>
      <c r="F89" t="s">
        <v>683</v>
      </c>
      <c r="G89" t="str">
        <f t="shared" si="2"/>
        <v>Barrancabermeja, Santander, 68081</v>
      </c>
    </row>
    <row r="90" spans="1:7" x14ac:dyDescent="0.25">
      <c r="A90" t="s">
        <v>56</v>
      </c>
      <c r="B90">
        <v>44</v>
      </c>
      <c r="C90" t="s">
        <v>559</v>
      </c>
      <c r="D90">
        <v>44.078000000000003</v>
      </c>
      <c r="E90" t="str">
        <f t="shared" si="3"/>
        <v>44078</v>
      </c>
      <c r="F90" t="s">
        <v>561</v>
      </c>
      <c r="G90" t="str">
        <f t="shared" si="2"/>
        <v>Barrancas, La Guajira, 44078</v>
      </c>
    </row>
    <row r="91" spans="1:7" x14ac:dyDescent="0.25">
      <c r="A91" t="s">
        <v>56</v>
      </c>
      <c r="B91">
        <v>13</v>
      </c>
      <c r="C91" t="s">
        <v>154</v>
      </c>
      <c r="D91">
        <v>13.074</v>
      </c>
      <c r="E91" t="str">
        <f t="shared" si="3"/>
        <v>13074</v>
      </c>
      <c r="F91" t="s">
        <v>862</v>
      </c>
      <c r="G91" t="str">
        <f t="shared" si="2"/>
        <v>Barranco de Loba, Bolívar, 13074</v>
      </c>
    </row>
    <row r="92" spans="1:7" x14ac:dyDescent="0.25">
      <c r="A92" t="s">
        <v>117</v>
      </c>
      <c r="B92">
        <v>94</v>
      </c>
      <c r="C92" t="s">
        <v>831</v>
      </c>
      <c r="D92">
        <v>94.343000000000004</v>
      </c>
      <c r="E92" t="str">
        <f t="shared" si="3"/>
        <v>94343</v>
      </c>
      <c r="F92" t="s">
        <v>833</v>
      </c>
      <c r="G92" t="str">
        <f t="shared" si="2"/>
        <v>Barranco Minas, Guainía, 94343</v>
      </c>
    </row>
    <row r="93" spans="1:7" x14ac:dyDescent="0.25">
      <c r="A93" t="s">
        <v>56</v>
      </c>
      <c r="B93">
        <v>8</v>
      </c>
      <c r="C93" t="s">
        <v>137</v>
      </c>
      <c r="D93">
        <v>8.0009999999999994</v>
      </c>
      <c r="E93" t="str">
        <f t="shared" si="3"/>
        <v>8001</v>
      </c>
      <c r="F93" t="s">
        <v>138</v>
      </c>
      <c r="G93" t="str">
        <f t="shared" si="2"/>
        <v>Barranquilla, Atlántico, 8001</v>
      </c>
    </row>
    <row r="94" spans="1:7" x14ac:dyDescent="0.25">
      <c r="A94" t="s">
        <v>56</v>
      </c>
      <c r="B94">
        <v>20</v>
      </c>
      <c r="C94" t="s">
        <v>362</v>
      </c>
      <c r="D94">
        <v>20.045000000000002</v>
      </c>
      <c r="E94" t="str">
        <f t="shared" si="3"/>
        <v>20045</v>
      </c>
      <c r="F94" t="s">
        <v>367</v>
      </c>
      <c r="G94" t="str">
        <f t="shared" si="2"/>
        <v>Becerril, Cesar, 20045</v>
      </c>
    </row>
    <row r="95" spans="1:7" x14ac:dyDescent="0.25">
      <c r="A95" t="s">
        <v>5</v>
      </c>
      <c r="B95">
        <v>17</v>
      </c>
      <c r="C95" t="s">
        <v>34</v>
      </c>
      <c r="D95">
        <v>17.088000000000001</v>
      </c>
      <c r="E95" t="str">
        <f t="shared" si="3"/>
        <v>17088</v>
      </c>
      <c r="F95" t="s">
        <v>294</v>
      </c>
      <c r="G95" t="str">
        <f t="shared" si="2"/>
        <v>Belalcázar, Caldas, 17088</v>
      </c>
    </row>
    <row r="96" spans="1:7" x14ac:dyDescent="0.25">
      <c r="A96" t="s">
        <v>62</v>
      </c>
      <c r="B96">
        <v>27</v>
      </c>
      <c r="C96" t="s">
        <v>63</v>
      </c>
      <c r="D96">
        <v>27.085999999999999</v>
      </c>
      <c r="E96" t="str">
        <f t="shared" si="3"/>
        <v>27086</v>
      </c>
      <c r="F96" t="s">
        <v>927</v>
      </c>
      <c r="G96" t="str">
        <f t="shared" si="2"/>
        <v>Belén de Bajira, Chocó, 27086</v>
      </c>
    </row>
    <row r="97" spans="1:7" x14ac:dyDescent="0.25">
      <c r="A97" t="s">
        <v>316</v>
      </c>
      <c r="B97">
        <v>18</v>
      </c>
      <c r="C97" t="s">
        <v>317</v>
      </c>
      <c r="D97">
        <v>18.094000000000001</v>
      </c>
      <c r="E97" t="str">
        <f t="shared" si="3"/>
        <v>18094</v>
      </c>
      <c r="F97" t="s">
        <v>887</v>
      </c>
      <c r="G97" t="str">
        <f t="shared" si="2"/>
        <v>Belén de Los Andaquies, Caquetá, 18094</v>
      </c>
    </row>
    <row r="98" spans="1:7" x14ac:dyDescent="0.25">
      <c r="A98" t="s">
        <v>5</v>
      </c>
      <c r="B98">
        <v>66</v>
      </c>
      <c r="C98" t="s">
        <v>308</v>
      </c>
      <c r="D98">
        <v>66.087999999999994</v>
      </c>
      <c r="E98" t="str">
        <f t="shared" si="3"/>
        <v>66088</v>
      </c>
      <c r="F98" t="s">
        <v>926</v>
      </c>
      <c r="G98" t="str">
        <f t="shared" si="2"/>
        <v>Belén de Umbría, Risaralda, 66088</v>
      </c>
    </row>
    <row r="99" spans="1:7" x14ac:dyDescent="0.25">
      <c r="A99" t="s">
        <v>17</v>
      </c>
      <c r="B99">
        <v>15</v>
      </c>
      <c r="C99" t="s">
        <v>18</v>
      </c>
      <c r="D99">
        <v>15.087</v>
      </c>
      <c r="E99" t="str">
        <f t="shared" si="3"/>
        <v>15087</v>
      </c>
      <c r="F99" t="s">
        <v>1029</v>
      </c>
      <c r="G99" t="str">
        <f t="shared" si="2"/>
        <v>Belén, Boyacá, 15087</v>
      </c>
    </row>
    <row r="100" spans="1:7" x14ac:dyDescent="0.25">
      <c r="A100" t="s">
        <v>62</v>
      </c>
      <c r="B100">
        <v>52</v>
      </c>
      <c r="C100" t="s">
        <v>84</v>
      </c>
      <c r="D100">
        <v>52.082999999999998</v>
      </c>
      <c r="E100" t="str">
        <f t="shared" si="3"/>
        <v>52083</v>
      </c>
      <c r="F100" t="s">
        <v>1029</v>
      </c>
      <c r="G100" t="str">
        <f t="shared" si="2"/>
        <v>Belén, Nariño, 52083</v>
      </c>
    </row>
    <row r="101" spans="1:7" x14ac:dyDescent="0.25">
      <c r="A101" t="s">
        <v>5</v>
      </c>
      <c r="B101">
        <v>5</v>
      </c>
      <c r="C101" t="s">
        <v>6</v>
      </c>
      <c r="D101">
        <v>5.0880000000000001</v>
      </c>
      <c r="E101" t="str">
        <f t="shared" si="3"/>
        <v>5088</v>
      </c>
      <c r="F101" t="s">
        <v>26</v>
      </c>
      <c r="G101" t="str">
        <f t="shared" si="2"/>
        <v>Bello, Antioquia, 5088</v>
      </c>
    </row>
    <row r="102" spans="1:7" x14ac:dyDescent="0.25">
      <c r="A102" t="s">
        <v>5</v>
      </c>
      <c r="B102">
        <v>5</v>
      </c>
      <c r="C102" t="s">
        <v>6</v>
      </c>
      <c r="D102">
        <v>5.0860000000000003</v>
      </c>
      <c r="E102" t="str">
        <f t="shared" si="3"/>
        <v>5086</v>
      </c>
      <c r="F102" t="s">
        <v>72</v>
      </c>
      <c r="G102" t="str">
        <f t="shared" si="2"/>
        <v>Belmira, Antioquia, 5086</v>
      </c>
    </row>
    <row r="103" spans="1:7" x14ac:dyDescent="0.25">
      <c r="A103" t="s">
        <v>17</v>
      </c>
      <c r="B103">
        <v>25</v>
      </c>
      <c r="C103" t="s">
        <v>409</v>
      </c>
      <c r="D103">
        <v>25.085999999999999</v>
      </c>
      <c r="E103" t="str">
        <f t="shared" si="3"/>
        <v>25086</v>
      </c>
      <c r="F103" t="s">
        <v>412</v>
      </c>
      <c r="G103" t="str">
        <f t="shared" si="2"/>
        <v>Beltrán, Cundinamarca, 25086</v>
      </c>
    </row>
    <row r="104" spans="1:7" x14ac:dyDescent="0.25">
      <c r="A104" t="s">
        <v>17</v>
      </c>
      <c r="B104">
        <v>15</v>
      </c>
      <c r="C104" t="s">
        <v>18</v>
      </c>
      <c r="D104">
        <v>15.09</v>
      </c>
      <c r="E104" t="str">
        <f t="shared" si="3"/>
        <v>1509</v>
      </c>
      <c r="F104" t="s">
        <v>190</v>
      </c>
      <c r="G104" t="str">
        <f t="shared" si="2"/>
        <v>Berbeo, Boyacá, 1509</v>
      </c>
    </row>
    <row r="105" spans="1:7" x14ac:dyDescent="0.25">
      <c r="A105" t="s">
        <v>5</v>
      </c>
      <c r="B105">
        <v>5</v>
      </c>
      <c r="C105" t="s">
        <v>6</v>
      </c>
      <c r="D105">
        <v>5.0910000000000002</v>
      </c>
      <c r="E105" t="str">
        <f t="shared" si="3"/>
        <v>5091</v>
      </c>
      <c r="F105" t="s">
        <v>27</v>
      </c>
      <c r="G105" t="str">
        <f t="shared" si="2"/>
        <v>Betania, Antioquia, 5091</v>
      </c>
    </row>
    <row r="106" spans="1:7" x14ac:dyDescent="0.25">
      <c r="A106" t="s">
        <v>17</v>
      </c>
      <c r="B106">
        <v>15</v>
      </c>
      <c r="C106" t="s">
        <v>18</v>
      </c>
      <c r="D106">
        <v>15.092000000000001</v>
      </c>
      <c r="E106" t="str">
        <f t="shared" si="3"/>
        <v>15092</v>
      </c>
      <c r="F106" t="s">
        <v>191</v>
      </c>
      <c r="G106" t="str">
        <f t="shared" si="2"/>
        <v>Betéitiva, Boyacá, 15092</v>
      </c>
    </row>
    <row r="107" spans="1:7" x14ac:dyDescent="0.25">
      <c r="A107" t="s">
        <v>5</v>
      </c>
      <c r="B107">
        <v>5</v>
      </c>
      <c r="C107" t="s">
        <v>6</v>
      </c>
      <c r="D107">
        <v>5.093</v>
      </c>
      <c r="E107" t="str">
        <f t="shared" si="3"/>
        <v>5093</v>
      </c>
      <c r="F107" t="s">
        <v>28</v>
      </c>
      <c r="G107" t="str">
        <f t="shared" si="2"/>
        <v>Betulia, Antioquia, 5093</v>
      </c>
    </row>
    <row r="108" spans="1:7" x14ac:dyDescent="0.25">
      <c r="A108" t="s">
        <v>17</v>
      </c>
      <c r="B108">
        <v>68</v>
      </c>
      <c r="C108" t="s">
        <v>104</v>
      </c>
      <c r="D108">
        <v>68.091999999999999</v>
      </c>
      <c r="E108" t="str">
        <f t="shared" si="3"/>
        <v>68092</v>
      </c>
      <c r="F108" t="s">
        <v>28</v>
      </c>
      <c r="G108" t="str">
        <f t="shared" si="2"/>
        <v>Betulia, Santander, 68092</v>
      </c>
    </row>
    <row r="109" spans="1:7" x14ac:dyDescent="0.25">
      <c r="A109" t="s">
        <v>17</v>
      </c>
      <c r="B109">
        <v>25</v>
      </c>
      <c r="C109" t="s">
        <v>409</v>
      </c>
      <c r="D109">
        <v>25.094999999999999</v>
      </c>
      <c r="E109" t="str">
        <f t="shared" si="3"/>
        <v>25095</v>
      </c>
      <c r="F109" t="s">
        <v>413</v>
      </c>
      <c r="G109" t="str">
        <f t="shared" si="2"/>
        <v>Bituima, Cundinamarca, 25095</v>
      </c>
    </row>
    <row r="110" spans="1:7" x14ac:dyDescent="0.25">
      <c r="A110" t="s">
        <v>17</v>
      </c>
      <c r="B110">
        <v>15</v>
      </c>
      <c r="C110" t="s">
        <v>18</v>
      </c>
      <c r="D110">
        <v>15.097</v>
      </c>
      <c r="E110" t="str">
        <f t="shared" si="3"/>
        <v>15097</v>
      </c>
      <c r="F110" t="s">
        <v>192</v>
      </c>
      <c r="G110" t="str">
        <f t="shared" si="2"/>
        <v>Boavita, Boyacá, 15097</v>
      </c>
    </row>
    <row r="111" spans="1:7" x14ac:dyDescent="0.25">
      <c r="A111" t="s">
        <v>17</v>
      </c>
      <c r="B111">
        <v>54</v>
      </c>
      <c r="C111" t="s">
        <v>939</v>
      </c>
      <c r="D111">
        <v>54.098999999999997</v>
      </c>
      <c r="E111" t="str">
        <f t="shared" si="3"/>
        <v>54099</v>
      </c>
      <c r="F111" t="s">
        <v>963</v>
      </c>
      <c r="G111" t="str">
        <f t="shared" si="2"/>
        <v>Bochalema, Norte de Santander, 54099</v>
      </c>
    </row>
    <row r="112" spans="1:7" x14ac:dyDescent="0.25">
      <c r="A112" t="s">
        <v>17</v>
      </c>
      <c r="B112">
        <v>11</v>
      </c>
      <c r="C112" t="s">
        <v>919</v>
      </c>
      <c r="D112">
        <v>11.000999999999999</v>
      </c>
      <c r="E112" t="str">
        <f t="shared" si="3"/>
        <v>11001</v>
      </c>
      <c r="F112" t="s">
        <v>919</v>
      </c>
      <c r="G112" t="str">
        <f t="shared" si="2"/>
        <v>Bogotá D.C., Bogotá D.C., 11001</v>
      </c>
    </row>
    <row r="113" spans="1:7" x14ac:dyDescent="0.25">
      <c r="A113" t="s">
        <v>17</v>
      </c>
      <c r="B113">
        <v>25</v>
      </c>
      <c r="C113" t="s">
        <v>409</v>
      </c>
      <c r="D113">
        <v>25.099</v>
      </c>
      <c r="E113" t="str">
        <f t="shared" si="3"/>
        <v>25099</v>
      </c>
      <c r="F113" t="s">
        <v>414</v>
      </c>
      <c r="G113" t="str">
        <f t="shared" si="2"/>
        <v>Bojacá, Cundinamarca, 25099</v>
      </c>
    </row>
    <row r="114" spans="1:7" x14ac:dyDescent="0.25">
      <c r="A114" t="s">
        <v>62</v>
      </c>
      <c r="B114">
        <v>27</v>
      </c>
      <c r="C114" t="s">
        <v>63</v>
      </c>
      <c r="D114">
        <v>27.099</v>
      </c>
      <c r="E114" t="str">
        <f t="shared" si="3"/>
        <v>27099</v>
      </c>
      <c r="F114" t="s">
        <v>511</v>
      </c>
      <c r="G114" t="str">
        <f t="shared" si="2"/>
        <v>Bojaya, Chocó, 27099</v>
      </c>
    </row>
    <row r="115" spans="1:7" x14ac:dyDescent="0.25">
      <c r="A115" t="s">
        <v>62</v>
      </c>
      <c r="B115">
        <v>19</v>
      </c>
      <c r="C115" t="s">
        <v>327</v>
      </c>
      <c r="D115">
        <v>19.100000000000001</v>
      </c>
      <c r="E115" t="str">
        <f t="shared" si="3"/>
        <v>191</v>
      </c>
      <c r="F115" t="s">
        <v>154</v>
      </c>
      <c r="G115" t="str">
        <f t="shared" si="2"/>
        <v>Bolívar, Cauca, 191</v>
      </c>
    </row>
    <row r="116" spans="1:7" x14ac:dyDescent="0.25">
      <c r="A116" t="s">
        <v>17</v>
      </c>
      <c r="B116">
        <v>68</v>
      </c>
      <c r="C116" t="s">
        <v>104</v>
      </c>
      <c r="D116">
        <v>68.100999999999999</v>
      </c>
      <c r="E116" t="str">
        <f t="shared" si="3"/>
        <v>68101</v>
      </c>
      <c r="F116" t="s">
        <v>154</v>
      </c>
      <c r="G116" t="str">
        <f t="shared" si="2"/>
        <v>Bolívar, Santander, 68101</v>
      </c>
    </row>
    <row r="117" spans="1:7" x14ac:dyDescent="0.25">
      <c r="A117" t="s">
        <v>62</v>
      </c>
      <c r="B117">
        <v>76</v>
      </c>
      <c r="C117" t="s">
        <v>942</v>
      </c>
      <c r="D117">
        <v>76.099999999999994</v>
      </c>
      <c r="E117" t="str">
        <f t="shared" si="3"/>
        <v>761</v>
      </c>
      <c r="F117" t="s">
        <v>154</v>
      </c>
      <c r="G117" t="str">
        <f t="shared" si="2"/>
        <v>Bolívar, Valle del Cauca, 761</v>
      </c>
    </row>
    <row r="118" spans="1:7" x14ac:dyDescent="0.25">
      <c r="A118" t="s">
        <v>56</v>
      </c>
      <c r="B118">
        <v>20</v>
      </c>
      <c r="C118" t="s">
        <v>362</v>
      </c>
      <c r="D118">
        <v>20.059999999999999</v>
      </c>
      <c r="E118" t="str">
        <f t="shared" si="3"/>
        <v>2006</v>
      </c>
      <c r="F118" t="s">
        <v>368</v>
      </c>
      <c r="G118" t="str">
        <f t="shared" si="2"/>
        <v>Bosconia, Cesar, 2006</v>
      </c>
    </row>
    <row r="119" spans="1:7" x14ac:dyDescent="0.25">
      <c r="A119" t="s">
        <v>17</v>
      </c>
      <c r="B119">
        <v>15</v>
      </c>
      <c r="C119" t="s">
        <v>18</v>
      </c>
      <c r="D119">
        <v>15.103999999999999</v>
      </c>
      <c r="E119" t="str">
        <f t="shared" si="3"/>
        <v>15104</v>
      </c>
      <c r="F119" t="s">
        <v>18</v>
      </c>
      <c r="G119" t="str">
        <f t="shared" si="2"/>
        <v>Boyacá, Boyacá, 15104</v>
      </c>
    </row>
    <row r="120" spans="1:7" x14ac:dyDescent="0.25">
      <c r="A120" t="s">
        <v>5</v>
      </c>
      <c r="B120">
        <v>5</v>
      </c>
      <c r="C120" t="s">
        <v>6</v>
      </c>
      <c r="D120">
        <v>5.1070000000000002</v>
      </c>
      <c r="E120" t="str">
        <f t="shared" si="3"/>
        <v>5107</v>
      </c>
      <c r="F120" t="s">
        <v>30</v>
      </c>
      <c r="G120" t="str">
        <f t="shared" si="2"/>
        <v>Briceño, Antioquia, 5107</v>
      </c>
    </row>
    <row r="121" spans="1:7" x14ac:dyDescent="0.25">
      <c r="A121" t="s">
        <v>17</v>
      </c>
      <c r="B121">
        <v>15</v>
      </c>
      <c r="C121" t="s">
        <v>18</v>
      </c>
      <c r="D121">
        <v>15.106</v>
      </c>
      <c r="E121" t="str">
        <f t="shared" si="3"/>
        <v>15106</v>
      </c>
      <c r="F121" t="s">
        <v>30</v>
      </c>
      <c r="G121" t="str">
        <f t="shared" si="2"/>
        <v>Briceño, Boyacá, 15106</v>
      </c>
    </row>
    <row r="122" spans="1:7" x14ac:dyDescent="0.25">
      <c r="A122" t="s">
        <v>17</v>
      </c>
      <c r="B122">
        <v>68</v>
      </c>
      <c r="C122" t="s">
        <v>104</v>
      </c>
      <c r="D122">
        <v>68.001000000000005</v>
      </c>
      <c r="E122" t="str">
        <f t="shared" si="3"/>
        <v>68001</v>
      </c>
      <c r="F122" t="s">
        <v>679</v>
      </c>
      <c r="G122" t="str">
        <f t="shared" si="2"/>
        <v>Bucaramanga, Santander, 68001</v>
      </c>
    </row>
    <row r="123" spans="1:7" x14ac:dyDescent="0.25">
      <c r="A123" t="s">
        <v>17</v>
      </c>
      <c r="B123">
        <v>54</v>
      </c>
      <c r="C123" t="s">
        <v>939</v>
      </c>
      <c r="D123">
        <v>54.109000000000002</v>
      </c>
      <c r="E123" t="str">
        <f t="shared" si="3"/>
        <v>54109</v>
      </c>
      <c r="F123" t="s">
        <v>988</v>
      </c>
      <c r="G123" t="str">
        <f t="shared" si="2"/>
        <v>Bucarasica, Norte de Santander, 54109</v>
      </c>
    </row>
    <row r="124" spans="1:7" x14ac:dyDescent="0.25">
      <c r="A124" t="s">
        <v>17</v>
      </c>
      <c r="B124">
        <v>15</v>
      </c>
      <c r="C124" t="s">
        <v>18</v>
      </c>
      <c r="D124">
        <v>15.109</v>
      </c>
      <c r="E124" t="str">
        <f t="shared" si="3"/>
        <v>15109</v>
      </c>
      <c r="F124" t="s">
        <v>193</v>
      </c>
      <c r="G124" t="str">
        <f t="shared" si="2"/>
        <v>Buena Vista, Boyacá, 15109</v>
      </c>
    </row>
    <row r="125" spans="1:7" x14ac:dyDescent="0.25">
      <c r="A125" t="s">
        <v>62</v>
      </c>
      <c r="B125">
        <v>76</v>
      </c>
      <c r="C125" t="s">
        <v>942</v>
      </c>
      <c r="D125">
        <v>76.108999999999995</v>
      </c>
      <c r="E125" t="str">
        <f t="shared" si="3"/>
        <v>76109</v>
      </c>
      <c r="F125" t="s">
        <v>1066</v>
      </c>
      <c r="G125" t="str">
        <f t="shared" si="2"/>
        <v>Buenaventura, Valle del Cauca, 76109</v>
      </c>
    </row>
    <row r="126" spans="1:7" x14ac:dyDescent="0.25">
      <c r="A126" t="s">
        <v>56</v>
      </c>
      <c r="B126">
        <v>23</v>
      </c>
      <c r="C126" t="s">
        <v>57</v>
      </c>
      <c r="D126">
        <v>23.079000000000001</v>
      </c>
      <c r="E126" t="str">
        <f t="shared" si="3"/>
        <v>23079</v>
      </c>
      <c r="F126" t="s">
        <v>388</v>
      </c>
      <c r="G126" t="str">
        <f t="shared" si="2"/>
        <v>Buenavista, Córdoba, 23079</v>
      </c>
    </row>
    <row r="127" spans="1:7" x14ac:dyDescent="0.25">
      <c r="A127" t="s">
        <v>5</v>
      </c>
      <c r="B127">
        <v>63</v>
      </c>
      <c r="C127" t="s">
        <v>660</v>
      </c>
      <c r="D127">
        <v>63.110999999999997</v>
      </c>
      <c r="E127" t="str">
        <f t="shared" si="3"/>
        <v>63111</v>
      </c>
      <c r="F127" t="s">
        <v>388</v>
      </c>
      <c r="G127" t="str">
        <f t="shared" si="2"/>
        <v>Buenavista, Quindío, 63111</v>
      </c>
    </row>
    <row r="128" spans="1:7" x14ac:dyDescent="0.25">
      <c r="A128" t="s">
        <v>56</v>
      </c>
      <c r="B128">
        <v>70</v>
      </c>
      <c r="C128" t="s">
        <v>356</v>
      </c>
      <c r="D128">
        <v>70.11</v>
      </c>
      <c r="E128" t="str">
        <f t="shared" si="3"/>
        <v>7011</v>
      </c>
      <c r="F128" t="s">
        <v>388</v>
      </c>
      <c r="G128" t="str">
        <f t="shared" si="2"/>
        <v>Buenavista, Sucre, 7011</v>
      </c>
    </row>
    <row r="129" spans="1:7" x14ac:dyDescent="0.25">
      <c r="A129" t="s">
        <v>62</v>
      </c>
      <c r="B129">
        <v>19</v>
      </c>
      <c r="C129" t="s">
        <v>327</v>
      </c>
      <c r="D129">
        <v>19.11</v>
      </c>
      <c r="E129" t="str">
        <f t="shared" si="3"/>
        <v>1911</v>
      </c>
      <c r="F129" t="s">
        <v>331</v>
      </c>
      <c r="G129" t="str">
        <f t="shared" si="2"/>
        <v>Buenos Aires, Cauca, 1911</v>
      </c>
    </row>
    <row r="130" spans="1:7" x14ac:dyDescent="0.25">
      <c r="A130" t="s">
        <v>62</v>
      </c>
      <c r="B130">
        <v>52</v>
      </c>
      <c r="C130" t="s">
        <v>84</v>
      </c>
      <c r="D130">
        <v>52.11</v>
      </c>
      <c r="E130" t="str">
        <f t="shared" si="3"/>
        <v>5211</v>
      </c>
      <c r="F130" t="s">
        <v>1010</v>
      </c>
      <c r="G130" t="str">
        <f t="shared" ref="G130:G193" si="4">_xlfn.CONCAT(F130,", ",C130,", ",E130)</f>
        <v>Buesaco, Nariño, 5211</v>
      </c>
    </row>
    <row r="131" spans="1:7" x14ac:dyDescent="0.25">
      <c r="A131" t="s">
        <v>62</v>
      </c>
      <c r="B131">
        <v>76</v>
      </c>
      <c r="C131" t="s">
        <v>942</v>
      </c>
      <c r="D131">
        <v>76.113</v>
      </c>
      <c r="E131" t="str">
        <f t="shared" ref="E131:E194" si="5">SUBSTITUTE(D131, ".", "",1)</f>
        <v>76113</v>
      </c>
      <c r="F131" t="s">
        <v>964</v>
      </c>
      <c r="G131" t="str">
        <f t="shared" si="4"/>
        <v>Bugalagrande, Valle del Cauca, 76113</v>
      </c>
    </row>
    <row r="132" spans="1:7" x14ac:dyDescent="0.25">
      <c r="A132" t="s">
        <v>5</v>
      </c>
      <c r="B132">
        <v>5</v>
      </c>
      <c r="C132" t="s">
        <v>6</v>
      </c>
      <c r="D132">
        <v>5.1130000000000004</v>
      </c>
      <c r="E132" t="str">
        <f t="shared" si="5"/>
        <v>5113</v>
      </c>
      <c r="F132" t="s">
        <v>31</v>
      </c>
      <c r="G132" t="str">
        <f t="shared" si="4"/>
        <v>Buriticá, Antioquia, 5113</v>
      </c>
    </row>
    <row r="133" spans="1:7" x14ac:dyDescent="0.25">
      <c r="A133" t="s">
        <v>17</v>
      </c>
      <c r="B133">
        <v>15</v>
      </c>
      <c r="C133" t="s">
        <v>18</v>
      </c>
      <c r="D133">
        <v>15.114000000000001</v>
      </c>
      <c r="E133" t="str">
        <f t="shared" si="5"/>
        <v>15114</v>
      </c>
      <c r="F133" t="s">
        <v>194</v>
      </c>
      <c r="G133" t="str">
        <f t="shared" si="4"/>
        <v>Busbanzá, Boyacá, 15114</v>
      </c>
    </row>
    <row r="134" spans="1:7" x14ac:dyDescent="0.25">
      <c r="A134" t="s">
        <v>17</v>
      </c>
      <c r="B134">
        <v>25</v>
      </c>
      <c r="C134" t="s">
        <v>409</v>
      </c>
      <c r="D134">
        <v>25.12</v>
      </c>
      <c r="E134" t="str">
        <f t="shared" si="5"/>
        <v>2512</v>
      </c>
      <c r="F134" t="s">
        <v>415</v>
      </c>
      <c r="G134" t="str">
        <f t="shared" si="4"/>
        <v>Cabrera, Cundinamarca, 2512</v>
      </c>
    </row>
    <row r="135" spans="1:7" x14ac:dyDescent="0.25">
      <c r="A135" t="s">
        <v>17</v>
      </c>
      <c r="B135">
        <v>68</v>
      </c>
      <c r="C135" t="s">
        <v>104</v>
      </c>
      <c r="D135">
        <v>68.120999999999995</v>
      </c>
      <c r="E135" t="str">
        <f t="shared" si="5"/>
        <v>68121</v>
      </c>
      <c r="F135" t="s">
        <v>415</v>
      </c>
      <c r="G135" t="str">
        <f t="shared" si="4"/>
        <v>Cabrera, Santander, 68121</v>
      </c>
    </row>
    <row r="136" spans="1:7" x14ac:dyDescent="0.25">
      <c r="A136" t="s">
        <v>117</v>
      </c>
      <c r="B136">
        <v>50</v>
      </c>
      <c r="C136" t="s">
        <v>118</v>
      </c>
      <c r="D136">
        <v>50.124000000000002</v>
      </c>
      <c r="E136" t="str">
        <f t="shared" si="5"/>
        <v>50124</v>
      </c>
      <c r="F136" t="s">
        <v>595</v>
      </c>
      <c r="G136" t="str">
        <f t="shared" si="4"/>
        <v>Cabuyaro, Meta, 50124</v>
      </c>
    </row>
    <row r="137" spans="1:7" x14ac:dyDescent="0.25">
      <c r="A137" t="s">
        <v>117</v>
      </c>
      <c r="B137">
        <v>94</v>
      </c>
      <c r="C137" t="s">
        <v>831</v>
      </c>
      <c r="D137">
        <v>94.885999999999996</v>
      </c>
      <c r="E137" t="str">
        <f t="shared" si="5"/>
        <v>94886</v>
      </c>
      <c r="F137" t="s">
        <v>838</v>
      </c>
      <c r="G137" t="str">
        <f t="shared" si="4"/>
        <v>Cacahual, Guainía, 94886</v>
      </c>
    </row>
    <row r="138" spans="1:7" x14ac:dyDescent="0.25">
      <c r="A138" t="s">
        <v>5</v>
      </c>
      <c r="B138">
        <v>5</v>
      </c>
      <c r="C138" t="s">
        <v>6</v>
      </c>
      <c r="D138">
        <v>5.12</v>
      </c>
      <c r="E138" t="str">
        <f t="shared" si="5"/>
        <v>512</v>
      </c>
      <c r="F138" t="s">
        <v>32</v>
      </c>
      <c r="G138" t="str">
        <f t="shared" si="4"/>
        <v>Cáceres, Antioquia, 512</v>
      </c>
    </row>
    <row r="139" spans="1:7" x14ac:dyDescent="0.25">
      <c r="A139" t="s">
        <v>17</v>
      </c>
      <c r="B139">
        <v>25</v>
      </c>
      <c r="C139" t="s">
        <v>409</v>
      </c>
      <c r="D139">
        <v>25.123000000000001</v>
      </c>
      <c r="E139" t="str">
        <f t="shared" si="5"/>
        <v>25123</v>
      </c>
      <c r="F139" t="s">
        <v>416</v>
      </c>
      <c r="G139" t="str">
        <f t="shared" si="4"/>
        <v>Cachipay, Cundinamarca, 25123</v>
      </c>
    </row>
    <row r="140" spans="1:7" x14ac:dyDescent="0.25">
      <c r="A140" t="s">
        <v>17</v>
      </c>
      <c r="B140">
        <v>54</v>
      </c>
      <c r="C140" t="s">
        <v>939</v>
      </c>
      <c r="D140">
        <v>54.128</v>
      </c>
      <c r="E140" t="str">
        <f t="shared" si="5"/>
        <v>54128</v>
      </c>
      <c r="F140" t="s">
        <v>995</v>
      </c>
      <c r="G140" t="str">
        <f t="shared" si="4"/>
        <v>Cachirá, Norte de Santander, 54128</v>
      </c>
    </row>
    <row r="141" spans="1:7" x14ac:dyDescent="0.25">
      <c r="A141" t="s">
        <v>17</v>
      </c>
      <c r="B141">
        <v>54</v>
      </c>
      <c r="C141" t="s">
        <v>939</v>
      </c>
      <c r="D141">
        <v>54.125</v>
      </c>
      <c r="E141" t="str">
        <f t="shared" si="5"/>
        <v>54125</v>
      </c>
      <c r="F141" t="s">
        <v>941</v>
      </c>
      <c r="G141" t="str">
        <f t="shared" si="4"/>
        <v>Cácota, Norte de Santander, 54125</v>
      </c>
    </row>
    <row r="142" spans="1:7" x14ac:dyDescent="0.25">
      <c r="A142" t="s">
        <v>5</v>
      </c>
      <c r="B142">
        <v>5</v>
      </c>
      <c r="C142" t="s">
        <v>6</v>
      </c>
      <c r="D142">
        <v>5.125</v>
      </c>
      <c r="E142" t="str">
        <f t="shared" si="5"/>
        <v>5125</v>
      </c>
      <c r="F142" t="s">
        <v>33</v>
      </c>
      <c r="G142" t="str">
        <f t="shared" si="4"/>
        <v>Caicedo, Antioquia, 5125</v>
      </c>
    </row>
    <row r="143" spans="1:7" x14ac:dyDescent="0.25">
      <c r="A143" t="s">
        <v>62</v>
      </c>
      <c r="B143">
        <v>76</v>
      </c>
      <c r="C143" t="s">
        <v>942</v>
      </c>
      <c r="D143">
        <v>76.122</v>
      </c>
      <c r="E143" t="str">
        <f t="shared" si="5"/>
        <v>76122</v>
      </c>
      <c r="F143" t="s">
        <v>953</v>
      </c>
      <c r="G143" t="str">
        <f t="shared" si="4"/>
        <v>Caicedonia, Valle del Cauca, 76122</v>
      </c>
    </row>
    <row r="144" spans="1:7" x14ac:dyDescent="0.25">
      <c r="A144" t="s">
        <v>56</v>
      </c>
      <c r="B144">
        <v>70</v>
      </c>
      <c r="C144" t="s">
        <v>356</v>
      </c>
      <c r="D144">
        <v>70.123999999999995</v>
      </c>
      <c r="E144" t="str">
        <f t="shared" si="5"/>
        <v>70124</v>
      </c>
      <c r="F144" t="s">
        <v>741</v>
      </c>
      <c r="G144" t="str">
        <f t="shared" si="4"/>
        <v>Caimito, Sucre, 70124</v>
      </c>
    </row>
    <row r="145" spans="1:7" x14ac:dyDescent="0.25">
      <c r="A145" t="s">
        <v>316</v>
      </c>
      <c r="B145">
        <v>73</v>
      </c>
      <c r="C145" t="s">
        <v>757</v>
      </c>
      <c r="D145">
        <v>73.123999999999995</v>
      </c>
      <c r="E145" t="str">
        <f t="shared" si="5"/>
        <v>73124</v>
      </c>
      <c r="F145" t="s">
        <v>763</v>
      </c>
      <c r="G145" t="str">
        <f t="shared" si="4"/>
        <v>Cajamarca, Tolima, 73124</v>
      </c>
    </row>
    <row r="146" spans="1:7" x14ac:dyDescent="0.25">
      <c r="A146" t="s">
        <v>62</v>
      </c>
      <c r="B146">
        <v>19</v>
      </c>
      <c r="C146" t="s">
        <v>327</v>
      </c>
      <c r="D146">
        <v>19.13</v>
      </c>
      <c r="E146" t="str">
        <f t="shared" si="5"/>
        <v>1913</v>
      </c>
      <c r="F146" t="s">
        <v>332</v>
      </c>
      <c r="G146" t="str">
        <f t="shared" si="4"/>
        <v>Cajibío, Cauca, 1913</v>
      </c>
    </row>
    <row r="147" spans="1:7" x14ac:dyDescent="0.25">
      <c r="A147" t="s">
        <v>17</v>
      </c>
      <c r="B147">
        <v>25</v>
      </c>
      <c r="C147" t="s">
        <v>409</v>
      </c>
      <c r="D147">
        <v>25.126000000000001</v>
      </c>
      <c r="E147" t="str">
        <f t="shared" si="5"/>
        <v>25126</v>
      </c>
      <c r="F147" t="s">
        <v>417</v>
      </c>
      <c r="G147" t="str">
        <f t="shared" si="4"/>
        <v>Cajicá, Cundinamarca, 25126</v>
      </c>
    </row>
    <row r="148" spans="1:7" x14ac:dyDescent="0.25">
      <c r="A148" t="s">
        <v>56</v>
      </c>
      <c r="B148">
        <v>13</v>
      </c>
      <c r="C148" t="s">
        <v>154</v>
      </c>
      <c r="D148">
        <v>13.14</v>
      </c>
      <c r="E148" t="str">
        <f t="shared" si="5"/>
        <v>1314</v>
      </c>
      <c r="F148" t="s">
        <v>159</v>
      </c>
      <c r="G148" t="str">
        <f t="shared" si="4"/>
        <v>Calamar, Bolívar, 1314</v>
      </c>
    </row>
    <row r="149" spans="1:7" x14ac:dyDescent="0.25">
      <c r="A149" t="s">
        <v>117</v>
      </c>
      <c r="B149">
        <v>95</v>
      </c>
      <c r="C149" t="s">
        <v>871</v>
      </c>
      <c r="D149">
        <v>95.015000000000001</v>
      </c>
      <c r="E149" t="str">
        <f t="shared" si="5"/>
        <v>95015</v>
      </c>
      <c r="F149" t="s">
        <v>159</v>
      </c>
      <c r="G149" t="str">
        <f t="shared" si="4"/>
        <v>Calamar, Guaviare, 95015</v>
      </c>
    </row>
    <row r="150" spans="1:7" x14ac:dyDescent="0.25">
      <c r="A150" t="s">
        <v>5</v>
      </c>
      <c r="B150">
        <v>63</v>
      </c>
      <c r="C150" t="s">
        <v>660</v>
      </c>
      <c r="D150">
        <v>63.13</v>
      </c>
      <c r="E150" t="str">
        <f t="shared" si="5"/>
        <v>6313</v>
      </c>
      <c r="F150" t="s">
        <v>1047</v>
      </c>
      <c r="G150" t="str">
        <f t="shared" si="4"/>
        <v>Calarcá, Quindío, 6313</v>
      </c>
    </row>
    <row r="151" spans="1:7" x14ac:dyDescent="0.25">
      <c r="A151" t="s">
        <v>5</v>
      </c>
      <c r="B151">
        <v>5</v>
      </c>
      <c r="C151" t="s">
        <v>6</v>
      </c>
      <c r="D151">
        <v>5.1289999999999996</v>
      </c>
      <c r="E151" t="str">
        <f t="shared" si="5"/>
        <v>5129</v>
      </c>
      <c r="F151" t="s">
        <v>34</v>
      </c>
      <c r="G151" t="str">
        <f t="shared" si="4"/>
        <v>Caldas, Antioquia, 5129</v>
      </c>
    </row>
    <row r="152" spans="1:7" x14ac:dyDescent="0.25">
      <c r="A152" t="s">
        <v>17</v>
      </c>
      <c r="B152">
        <v>15</v>
      </c>
      <c r="C152" t="s">
        <v>18</v>
      </c>
      <c r="D152">
        <v>15.131</v>
      </c>
      <c r="E152" t="str">
        <f t="shared" si="5"/>
        <v>15131</v>
      </c>
      <c r="F152" t="s">
        <v>34</v>
      </c>
      <c r="G152" t="str">
        <f t="shared" si="4"/>
        <v>Caldas, Boyacá, 15131</v>
      </c>
    </row>
    <row r="153" spans="1:7" x14ac:dyDescent="0.25">
      <c r="A153" t="s">
        <v>62</v>
      </c>
      <c r="B153">
        <v>19</v>
      </c>
      <c r="C153" t="s">
        <v>327</v>
      </c>
      <c r="D153">
        <v>19.137</v>
      </c>
      <c r="E153" t="str">
        <f t="shared" si="5"/>
        <v>19137</v>
      </c>
      <c r="F153" t="s">
        <v>333</v>
      </c>
      <c r="G153" t="str">
        <f t="shared" si="4"/>
        <v>Caldono, Cauca, 19137</v>
      </c>
    </row>
    <row r="154" spans="1:7" x14ac:dyDescent="0.25">
      <c r="A154" t="s">
        <v>62</v>
      </c>
      <c r="B154">
        <v>76</v>
      </c>
      <c r="C154" t="s">
        <v>942</v>
      </c>
      <c r="D154">
        <v>76.001000000000005</v>
      </c>
      <c r="E154" t="str">
        <f t="shared" si="5"/>
        <v>76001</v>
      </c>
      <c r="F154" t="s">
        <v>974</v>
      </c>
      <c r="G154" t="str">
        <f t="shared" si="4"/>
        <v>Cali, Valle del Cauca, 76001</v>
      </c>
    </row>
    <row r="155" spans="1:7" x14ac:dyDescent="0.25">
      <c r="A155" t="s">
        <v>17</v>
      </c>
      <c r="B155">
        <v>68</v>
      </c>
      <c r="C155" t="s">
        <v>104</v>
      </c>
      <c r="D155">
        <v>68.132000000000005</v>
      </c>
      <c r="E155" t="str">
        <f t="shared" si="5"/>
        <v>68132</v>
      </c>
      <c r="F155" t="s">
        <v>684</v>
      </c>
      <c r="G155" t="str">
        <f t="shared" si="4"/>
        <v>California, Santander, 68132</v>
      </c>
    </row>
    <row r="156" spans="1:7" x14ac:dyDescent="0.25">
      <c r="A156" t="s">
        <v>62</v>
      </c>
      <c r="B156">
        <v>76</v>
      </c>
      <c r="C156" t="s">
        <v>942</v>
      </c>
      <c r="D156">
        <v>76.126000000000005</v>
      </c>
      <c r="E156" t="str">
        <f t="shared" si="5"/>
        <v>76126</v>
      </c>
      <c r="F156" t="s">
        <v>981</v>
      </c>
      <c r="G156" t="str">
        <f t="shared" si="4"/>
        <v>Calima, Valle del Cauca, 76126</v>
      </c>
    </row>
    <row r="157" spans="1:7" x14ac:dyDescent="0.25">
      <c r="A157" t="s">
        <v>62</v>
      </c>
      <c r="B157">
        <v>19</v>
      </c>
      <c r="C157" t="s">
        <v>327</v>
      </c>
      <c r="D157">
        <v>19.141999999999999</v>
      </c>
      <c r="E157" t="str">
        <f t="shared" si="5"/>
        <v>19142</v>
      </c>
      <c r="F157" t="s">
        <v>334</v>
      </c>
      <c r="G157" t="str">
        <f t="shared" si="4"/>
        <v>Caloto, Cauca, 19142</v>
      </c>
    </row>
    <row r="158" spans="1:7" x14ac:dyDescent="0.25">
      <c r="A158" t="s">
        <v>5</v>
      </c>
      <c r="B158">
        <v>5</v>
      </c>
      <c r="C158" t="s">
        <v>6</v>
      </c>
      <c r="D158">
        <v>5.1340000000000003</v>
      </c>
      <c r="E158" t="str">
        <f t="shared" si="5"/>
        <v>5134</v>
      </c>
      <c r="F158" t="s">
        <v>35</v>
      </c>
      <c r="G158" t="str">
        <f t="shared" si="4"/>
        <v>Campamento, Antioquia, 5134</v>
      </c>
    </row>
    <row r="159" spans="1:7" x14ac:dyDescent="0.25">
      <c r="A159" t="s">
        <v>56</v>
      </c>
      <c r="B159">
        <v>8</v>
      </c>
      <c r="C159" t="s">
        <v>137</v>
      </c>
      <c r="D159">
        <v>8.1370000000000005</v>
      </c>
      <c r="E159" t="str">
        <f t="shared" si="5"/>
        <v>8137</v>
      </c>
      <c r="F159" t="s">
        <v>907</v>
      </c>
      <c r="G159" t="str">
        <f t="shared" si="4"/>
        <v>Campo de La Cruz, Atlántico, 8137</v>
      </c>
    </row>
    <row r="160" spans="1:7" x14ac:dyDescent="0.25">
      <c r="A160" t="s">
        <v>316</v>
      </c>
      <c r="B160">
        <v>41</v>
      </c>
      <c r="C160" t="s">
        <v>525</v>
      </c>
      <c r="D160">
        <v>41.131999999999998</v>
      </c>
      <c r="E160" t="str">
        <f t="shared" si="5"/>
        <v>41132</v>
      </c>
      <c r="F160" t="s">
        <v>533</v>
      </c>
      <c r="G160" t="str">
        <f t="shared" si="4"/>
        <v>Campoalegre, Huila, 41132</v>
      </c>
    </row>
    <row r="161" spans="1:7" x14ac:dyDescent="0.25">
      <c r="A161" t="s">
        <v>17</v>
      </c>
      <c r="B161">
        <v>15</v>
      </c>
      <c r="C161" t="s">
        <v>18</v>
      </c>
      <c r="D161">
        <v>15.135</v>
      </c>
      <c r="E161" t="str">
        <f t="shared" si="5"/>
        <v>15135</v>
      </c>
      <c r="F161" t="s">
        <v>195</v>
      </c>
      <c r="G161" t="str">
        <f t="shared" si="4"/>
        <v>Campohermoso, Boyacá, 15135</v>
      </c>
    </row>
    <row r="162" spans="1:7" x14ac:dyDescent="0.25">
      <c r="A162" t="s">
        <v>56</v>
      </c>
      <c r="B162">
        <v>23</v>
      </c>
      <c r="C162" t="s">
        <v>57</v>
      </c>
      <c r="D162">
        <v>23.09</v>
      </c>
      <c r="E162" t="str">
        <f t="shared" si="5"/>
        <v>2309</v>
      </c>
      <c r="F162" t="s">
        <v>389</v>
      </c>
      <c r="G162" t="str">
        <f t="shared" si="4"/>
        <v>Canalete, Córdoba, 2309</v>
      </c>
    </row>
    <row r="163" spans="1:7" x14ac:dyDescent="0.25">
      <c r="A163" t="s">
        <v>5</v>
      </c>
      <c r="B163">
        <v>5</v>
      </c>
      <c r="C163" t="s">
        <v>6</v>
      </c>
      <c r="D163">
        <v>5.1379999999999999</v>
      </c>
      <c r="E163" t="str">
        <f t="shared" si="5"/>
        <v>5138</v>
      </c>
      <c r="F163" t="s">
        <v>36</v>
      </c>
      <c r="G163" t="str">
        <f t="shared" si="4"/>
        <v>Cañasgordas, Antioquia, 5138</v>
      </c>
    </row>
    <row r="164" spans="1:7" x14ac:dyDescent="0.25">
      <c r="A164" t="s">
        <v>56</v>
      </c>
      <c r="B164">
        <v>8</v>
      </c>
      <c r="C164" t="s">
        <v>137</v>
      </c>
      <c r="D164">
        <v>8.141</v>
      </c>
      <c r="E164" t="str">
        <f t="shared" si="5"/>
        <v>8141</v>
      </c>
      <c r="F164" t="s">
        <v>140</v>
      </c>
      <c r="G164" t="str">
        <f t="shared" si="4"/>
        <v>Candelaria, Atlántico, 8141</v>
      </c>
    </row>
    <row r="165" spans="1:7" x14ac:dyDescent="0.25">
      <c r="A165" t="s">
        <v>62</v>
      </c>
      <c r="B165">
        <v>76</v>
      </c>
      <c r="C165" t="s">
        <v>942</v>
      </c>
      <c r="D165">
        <v>76.13</v>
      </c>
      <c r="E165" t="str">
        <f t="shared" si="5"/>
        <v>7613</v>
      </c>
      <c r="F165" t="s">
        <v>140</v>
      </c>
      <c r="G165" t="str">
        <f t="shared" si="4"/>
        <v>Candelaria, Valle del Cauca, 7613</v>
      </c>
    </row>
    <row r="166" spans="1:7" x14ac:dyDescent="0.25">
      <c r="A166" t="s">
        <v>56</v>
      </c>
      <c r="B166">
        <v>13</v>
      </c>
      <c r="C166" t="s">
        <v>154</v>
      </c>
      <c r="D166">
        <v>13.16</v>
      </c>
      <c r="E166" t="str">
        <f t="shared" si="5"/>
        <v>1316</v>
      </c>
      <c r="F166" t="s">
        <v>160</v>
      </c>
      <c r="G166" t="str">
        <f t="shared" si="4"/>
        <v>Cantagallo, Bolívar, 1316</v>
      </c>
    </row>
    <row r="167" spans="1:7" x14ac:dyDescent="0.25">
      <c r="A167" t="s">
        <v>17</v>
      </c>
      <c r="B167">
        <v>25</v>
      </c>
      <c r="C167" t="s">
        <v>409</v>
      </c>
      <c r="D167">
        <v>25.148</v>
      </c>
      <c r="E167" t="str">
        <f t="shared" si="5"/>
        <v>25148</v>
      </c>
      <c r="F167" t="s">
        <v>418</v>
      </c>
      <c r="G167" t="str">
        <f t="shared" si="4"/>
        <v>Caparrapí, Cundinamarca, 25148</v>
      </c>
    </row>
    <row r="168" spans="1:7" x14ac:dyDescent="0.25">
      <c r="A168" t="s">
        <v>17</v>
      </c>
      <c r="B168">
        <v>68</v>
      </c>
      <c r="C168" t="s">
        <v>104</v>
      </c>
      <c r="D168">
        <v>68.147000000000006</v>
      </c>
      <c r="E168" t="str">
        <f t="shared" si="5"/>
        <v>68147</v>
      </c>
      <c r="F168" t="s">
        <v>1019</v>
      </c>
      <c r="G168" t="str">
        <f t="shared" si="4"/>
        <v>Capitanejo, Santander, 68147</v>
      </c>
    </row>
    <row r="169" spans="1:7" x14ac:dyDescent="0.25">
      <c r="A169" t="s">
        <v>17</v>
      </c>
      <c r="B169">
        <v>25</v>
      </c>
      <c r="C169" t="s">
        <v>409</v>
      </c>
      <c r="D169">
        <v>25.151</v>
      </c>
      <c r="E169" t="str">
        <f t="shared" si="5"/>
        <v>25151</v>
      </c>
      <c r="F169" t="s">
        <v>419</v>
      </c>
      <c r="G169" t="str">
        <f t="shared" si="4"/>
        <v>Caqueza, Cundinamarca, 25151</v>
      </c>
    </row>
    <row r="170" spans="1:7" x14ac:dyDescent="0.25">
      <c r="A170" t="s">
        <v>5</v>
      </c>
      <c r="B170">
        <v>5</v>
      </c>
      <c r="C170" t="s">
        <v>6</v>
      </c>
      <c r="D170">
        <v>5.1420000000000003</v>
      </c>
      <c r="E170" t="str">
        <f t="shared" si="5"/>
        <v>5142</v>
      </c>
      <c r="F170" t="s">
        <v>37</v>
      </c>
      <c r="G170" t="str">
        <f t="shared" si="4"/>
        <v>Caracolí, Antioquia, 5142</v>
      </c>
    </row>
    <row r="171" spans="1:7" x14ac:dyDescent="0.25">
      <c r="A171" t="s">
        <v>5</v>
      </c>
      <c r="B171">
        <v>5</v>
      </c>
      <c r="C171" t="s">
        <v>6</v>
      </c>
      <c r="D171">
        <v>5.1449999999999996</v>
      </c>
      <c r="E171" t="str">
        <f t="shared" si="5"/>
        <v>5145</v>
      </c>
      <c r="F171" t="s">
        <v>38</v>
      </c>
      <c r="G171" t="str">
        <f t="shared" si="4"/>
        <v>Caramanta, Antioquia, 5145</v>
      </c>
    </row>
    <row r="172" spans="1:7" x14ac:dyDescent="0.25">
      <c r="A172" t="s">
        <v>17</v>
      </c>
      <c r="B172">
        <v>68</v>
      </c>
      <c r="C172" t="s">
        <v>104</v>
      </c>
      <c r="D172">
        <v>68.152000000000001</v>
      </c>
      <c r="E172" t="str">
        <f t="shared" si="5"/>
        <v>68152</v>
      </c>
      <c r="F172" t="s">
        <v>685</v>
      </c>
      <c r="G172" t="str">
        <f t="shared" si="4"/>
        <v>Carcasí, Santander, 68152</v>
      </c>
    </row>
    <row r="173" spans="1:7" x14ac:dyDescent="0.25">
      <c r="A173" t="s">
        <v>5</v>
      </c>
      <c r="B173">
        <v>5</v>
      </c>
      <c r="C173" t="s">
        <v>6</v>
      </c>
      <c r="D173">
        <v>5.1470000000000002</v>
      </c>
      <c r="E173" t="str">
        <f t="shared" si="5"/>
        <v>5147</v>
      </c>
      <c r="F173" t="s">
        <v>39</v>
      </c>
      <c r="G173" t="str">
        <f t="shared" si="4"/>
        <v>Carepa, Antioquia, 5147</v>
      </c>
    </row>
    <row r="174" spans="1:7" x14ac:dyDescent="0.25">
      <c r="A174" t="s">
        <v>316</v>
      </c>
      <c r="B174">
        <v>73</v>
      </c>
      <c r="C174" t="s">
        <v>757</v>
      </c>
      <c r="D174">
        <v>73.147999999999996</v>
      </c>
      <c r="E174" t="str">
        <f t="shared" si="5"/>
        <v>73148</v>
      </c>
      <c r="F174" t="s">
        <v>901</v>
      </c>
      <c r="G174" t="str">
        <f t="shared" si="4"/>
        <v>Carmen de Apicala, Tolima, 73148</v>
      </c>
    </row>
    <row r="175" spans="1:7" x14ac:dyDescent="0.25">
      <c r="A175" t="s">
        <v>17</v>
      </c>
      <c r="B175">
        <v>25</v>
      </c>
      <c r="C175" t="s">
        <v>409</v>
      </c>
      <c r="D175">
        <v>25.154</v>
      </c>
      <c r="E175" t="str">
        <f t="shared" si="5"/>
        <v>25154</v>
      </c>
      <c r="F175" t="s">
        <v>920</v>
      </c>
      <c r="G175" t="str">
        <f t="shared" si="4"/>
        <v>Carmen de Carupa, Cundinamarca, 25154</v>
      </c>
    </row>
    <row r="176" spans="1:7" x14ac:dyDescent="0.25">
      <c r="A176" t="s">
        <v>62</v>
      </c>
      <c r="B176">
        <v>27</v>
      </c>
      <c r="C176" t="s">
        <v>63</v>
      </c>
      <c r="D176">
        <v>27.15</v>
      </c>
      <c r="E176" t="str">
        <f t="shared" si="5"/>
        <v>2715</v>
      </c>
      <c r="F176" t="s">
        <v>1031</v>
      </c>
      <c r="G176" t="str">
        <f t="shared" si="4"/>
        <v>Carmen del Darien, Chocó, 2715</v>
      </c>
    </row>
    <row r="177" spans="1:7" x14ac:dyDescent="0.25">
      <c r="A177" t="s">
        <v>5</v>
      </c>
      <c r="B177">
        <v>5</v>
      </c>
      <c r="C177" t="s">
        <v>6</v>
      </c>
      <c r="D177">
        <v>5.15</v>
      </c>
      <c r="E177" t="str">
        <f t="shared" si="5"/>
        <v>515</v>
      </c>
      <c r="F177" t="s">
        <v>41</v>
      </c>
      <c r="G177" t="str">
        <f t="shared" si="4"/>
        <v>Carolina, Antioquia, 515</v>
      </c>
    </row>
    <row r="178" spans="1:7" x14ac:dyDescent="0.25">
      <c r="A178" t="s">
        <v>316</v>
      </c>
      <c r="B178">
        <v>18</v>
      </c>
      <c r="C178" t="s">
        <v>317</v>
      </c>
      <c r="D178">
        <v>18.149999999999999</v>
      </c>
      <c r="E178" t="str">
        <f t="shared" si="5"/>
        <v>1815</v>
      </c>
      <c r="F178" t="s">
        <v>910</v>
      </c>
      <c r="G178" t="str">
        <f t="shared" si="4"/>
        <v>Cartagena del Chairá, Caquetá, 1815</v>
      </c>
    </row>
    <row r="179" spans="1:7" x14ac:dyDescent="0.25">
      <c r="A179" t="s">
        <v>56</v>
      </c>
      <c r="B179">
        <v>13</v>
      </c>
      <c r="C179" t="s">
        <v>154</v>
      </c>
      <c r="D179">
        <v>13.000999999999999</v>
      </c>
      <c r="E179" t="str">
        <f t="shared" si="5"/>
        <v>13001</v>
      </c>
      <c r="F179" t="s">
        <v>1036</v>
      </c>
      <c r="G179" t="str">
        <f t="shared" si="4"/>
        <v>Cartagena, Bolívar, 13001</v>
      </c>
    </row>
    <row r="180" spans="1:7" x14ac:dyDescent="0.25">
      <c r="A180" t="s">
        <v>62</v>
      </c>
      <c r="B180">
        <v>76</v>
      </c>
      <c r="C180" t="s">
        <v>942</v>
      </c>
      <c r="D180">
        <v>76.147000000000006</v>
      </c>
      <c r="E180" t="str">
        <f t="shared" si="5"/>
        <v>76147</v>
      </c>
      <c r="F180" t="s">
        <v>952</v>
      </c>
      <c r="G180" t="str">
        <f t="shared" si="4"/>
        <v>Cartago, Valle del Cauca, 76147</v>
      </c>
    </row>
    <row r="181" spans="1:7" x14ac:dyDescent="0.25">
      <c r="A181" t="s">
        <v>316</v>
      </c>
      <c r="B181">
        <v>97</v>
      </c>
      <c r="C181" t="s">
        <v>840</v>
      </c>
      <c r="D181">
        <v>97.161000000000001</v>
      </c>
      <c r="E181" t="str">
        <f t="shared" si="5"/>
        <v>97161</v>
      </c>
      <c r="F181" t="s">
        <v>842</v>
      </c>
      <c r="G181" t="str">
        <f t="shared" si="4"/>
        <v>Carurú, Vaupés, 97161</v>
      </c>
    </row>
    <row r="182" spans="1:7" x14ac:dyDescent="0.25">
      <c r="A182" t="s">
        <v>316</v>
      </c>
      <c r="B182">
        <v>73</v>
      </c>
      <c r="C182" t="s">
        <v>757</v>
      </c>
      <c r="D182">
        <v>73.152000000000001</v>
      </c>
      <c r="E182" t="str">
        <f t="shared" si="5"/>
        <v>73152</v>
      </c>
      <c r="F182" t="s">
        <v>1014</v>
      </c>
      <c r="G182" t="str">
        <f t="shared" si="4"/>
        <v>Casabianca, Tolima, 73152</v>
      </c>
    </row>
    <row r="183" spans="1:7" x14ac:dyDescent="0.25">
      <c r="A183" t="s">
        <v>117</v>
      </c>
      <c r="B183">
        <v>50</v>
      </c>
      <c r="C183" t="s">
        <v>118</v>
      </c>
      <c r="D183">
        <v>50.15</v>
      </c>
      <c r="E183" t="str">
        <f t="shared" si="5"/>
        <v>5015</v>
      </c>
      <c r="F183" t="s">
        <v>1058</v>
      </c>
      <c r="G183" t="str">
        <f t="shared" si="4"/>
        <v>Castilla la Nueva, Meta, 5015</v>
      </c>
    </row>
    <row r="184" spans="1:7" x14ac:dyDescent="0.25">
      <c r="A184" t="s">
        <v>5</v>
      </c>
      <c r="B184">
        <v>5</v>
      </c>
      <c r="C184" t="s">
        <v>6</v>
      </c>
      <c r="D184">
        <v>5.1539999999999999</v>
      </c>
      <c r="E184" t="str">
        <f t="shared" si="5"/>
        <v>5154</v>
      </c>
      <c r="F184" t="s">
        <v>42</v>
      </c>
      <c r="G184" t="str">
        <f t="shared" si="4"/>
        <v>Caucasia, Antioquia, 5154</v>
      </c>
    </row>
    <row r="185" spans="1:7" x14ac:dyDescent="0.25">
      <c r="A185" t="s">
        <v>17</v>
      </c>
      <c r="B185">
        <v>68</v>
      </c>
      <c r="C185" t="s">
        <v>104</v>
      </c>
      <c r="D185">
        <v>68.16</v>
      </c>
      <c r="E185" t="str">
        <f t="shared" si="5"/>
        <v>6816</v>
      </c>
      <c r="F185" t="s">
        <v>686</v>
      </c>
      <c r="G185" t="str">
        <f t="shared" si="4"/>
        <v>Cepitá, Santander, 6816</v>
      </c>
    </row>
    <row r="186" spans="1:7" x14ac:dyDescent="0.25">
      <c r="A186" t="s">
        <v>56</v>
      </c>
      <c r="B186">
        <v>23</v>
      </c>
      <c r="C186" t="s">
        <v>57</v>
      </c>
      <c r="D186">
        <v>23.161999999999999</v>
      </c>
      <c r="E186" t="str">
        <f t="shared" si="5"/>
        <v>23162</v>
      </c>
      <c r="F186" t="s">
        <v>390</v>
      </c>
      <c r="G186" t="str">
        <f t="shared" si="4"/>
        <v>Cereté, Córdoba, 23162</v>
      </c>
    </row>
    <row r="187" spans="1:7" x14ac:dyDescent="0.25">
      <c r="A187" t="s">
        <v>17</v>
      </c>
      <c r="B187">
        <v>15</v>
      </c>
      <c r="C187" t="s">
        <v>18</v>
      </c>
      <c r="D187">
        <v>15.162000000000001</v>
      </c>
      <c r="E187" t="str">
        <f t="shared" si="5"/>
        <v>15162</v>
      </c>
      <c r="F187" t="s">
        <v>196</v>
      </c>
      <c r="G187" t="str">
        <f t="shared" si="4"/>
        <v>Cerinza, Boyacá, 15162</v>
      </c>
    </row>
    <row r="188" spans="1:7" x14ac:dyDescent="0.25">
      <c r="A188" t="s">
        <v>17</v>
      </c>
      <c r="B188">
        <v>68</v>
      </c>
      <c r="C188" t="s">
        <v>104</v>
      </c>
      <c r="D188">
        <v>68.162000000000006</v>
      </c>
      <c r="E188" t="str">
        <f t="shared" si="5"/>
        <v>68162</v>
      </c>
      <c r="F188" t="s">
        <v>687</v>
      </c>
      <c r="G188" t="str">
        <f t="shared" si="4"/>
        <v>Cerrito, Santander, 68162</v>
      </c>
    </row>
    <row r="189" spans="1:7" x14ac:dyDescent="0.25">
      <c r="A189" t="s">
        <v>56</v>
      </c>
      <c r="B189">
        <v>47</v>
      </c>
      <c r="C189" t="s">
        <v>570</v>
      </c>
      <c r="D189">
        <v>47.161000000000001</v>
      </c>
      <c r="E189" t="str">
        <f t="shared" si="5"/>
        <v>47161</v>
      </c>
      <c r="F189" t="s">
        <v>575</v>
      </c>
      <c r="G189" t="str">
        <f t="shared" si="4"/>
        <v>Cerro San Antonio, Magdalena, 47161</v>
      </c>
    </row>
    <row r="190" spans="1:7" x14ac:dyDescent="0.25">
      <c r="A190" t="s">
        <v>62</v>
      </c>
      <c r="B190">
        <v>27</v>
      </c>
      <c r="C190" t="s">
        <v>63</v>
      </c>
      <c r="D190">
        <v>27.16</v>
      </c>
      <c r="E190" t="str">
        <f t="shared" si="5"/>
        <v>2716</v>
      </c>
      <c r="F190" t="s">
        <v>512</v>
      </c>
      <c r="G190" t="str">
        <f t="shared" si="4"/>
        <v>Cértegui, Chocó, 2716</v>
      </c>
    </row>
    <row r="191" spans="1:7" x14ac:dyDescent="0.25">
      <c r="A191" t="s">
        <v>62</v>
      </c>
      <c r="B191">
        <v>52</v>
      </c>
      <c r="C191" t="s">
        <v>84</v>
      </c>
      <c r="D191">
        <v>52.24</v>
      </c>
      <c r="E191" t="str">
        <f t="shared" si="5"/>
        <v>5224</v>
      </c>
      <c r="F191" t="s">
        <v>1034</v>
      </c>
      <c r="G191" t="str">
        <f t="shared" si="4"/>
        <v>Chachagüí, Nariño, 5224</v>
      </c>
    </row>
    <row r="192" spans="1:7" x14ac:dyDescent="0.25">
      <c r="A192" t="s">
        <v>17</v>
      </c>
      <c r="B192">
        <v>25</v>
      </c>
      <c r="C192" t="s">
        <v>409</v>
      </c>
      <c r="D192">
        <v>25.167999999999999</v>
      </c>
      <c r="E192" t="str">
        <f t="shared" si="5"/>
        <v>25168</v>
      </c>
      <c r="F192" t="s">
        <v>420</v>
      </c>
      <c r="G192" t="str">
        <f t="shared" si="4"/>
        <v>Chaguaní, Cundinamarca, 25168</v>
      </c>
    </row>
    <row r="193" spans="1:7" x14ac:dyDescent="0.25">
      <c r="A193" t="s">
        <v>56</v>
      </c>
      <c r="B193">
        <v>70</v>
      </c>
      <c r="C193" t="s">
        <v>356</v>
      </c>
      <c r="D193">
        <v>70.23</v>
      </c>
      <c r="E193" t="str">
        <f t="shared" si="5"/>
        <v>7023</v>
      </c>
      <c r="F193" t="s">
        <v>744</v>
      </c>
      <c r="G193" t="str">
        <f t="shared" si="4"/>
        <v>Chalán, Sucre, 7023</v>
      </c>
    </row>
    <row r="194" spans="1:7" x14ac:dyDescent="0.25">
      <c r="A194" t="s">
        <v>117</v>
      </c>
      <c r="B194">
        <v>85</v>
      </c>
      <c r="C194" t="s">
        <v>802</v>
      </c>
      <c r="D194">
        <v>85.015000000000001</v>
      </c>
      <c r="E194" t="str">
        <f t="shared" si="5"/>
        <v>85015</v>
      </c>
      <c r="F194" t="s">
        <v>805</v>
      </c>
      <c r="G194" t="str">
        <f t="shared" ref="G194:G257" si="6">_xlfn.CONCAT(F194,", ",C194,", ",E194)</f>
        <v>Chámeza, Casanare, 85015</v>
      </c>
    </row>
    <row r="195" spans="1:7" x14ac:dyDescent="0.25">
      <c r="A195" t="s">
        <v>316</v>
      </c>
      <c r="B195">
        <v>73</v>
      </c>
      <c r="C195" t="s">
        <v>757</v>
      </c>
      <c r="D195">
        <v>73.168000000000006</v>
      </c>
      <c r="E195" t="str">
        <f t="shared" ref="E195:E258" si="7">SUBSTITUTE(D195, ".", "",1)</f>
        <v>73168</v>
      </c>
      <c r="F195" t="s">
        <v>764</v>
      </c>
      <c r="G195" t="str">
        <f t="shared" si="6"/>
        <v>Chaparral, Tolima, 73168</v>
      </c>
    </row>
    <row r="196" spans="1:7" x14ac:dyDescent="0.25">
      <c r="A196" t="s">
        <v>17</v>
      </c>
      <c r="B196">
        <v>68</v>
      </c>
      <c r="C196" t="s">
        <v>104</v>
      </c>
      <c r="D196">
        <v>68.167000000000002</v>
      </c>
      <c r="E196" t="str">
        <f t="shared" si="7"/>
        <v>68167</v>
      </c>
      <c r="F196" t="s">
        <v>688</v>
      </c>
      <c r="G196" t="str">
        <f t="shared" si="6"/>
        <v>Charalá, Santander, 68167</v>
      </c>
    </row>
    <row r="197" spans="1:7" x14ac:dyDescent="0.25">
      <c r="A197" t="s">
        <v>17</v>
      </c>
      <c r="B197">
        <v>68</v>
      </c>
      <c r="C197" t="s">
        <v>104</v>
      </c>
      <c r="D197">
        <v>68.168999999999997</v>
      </c>
      <c r="E197" t="str">
        <f t="shared" si="7"/>
        <v>68169</v>
      </c>
      <c r="F197" t="s">
        <v>689</v>
      </c>
      <c r="G197" t="str">
        <f t="shared" si="6"/>
        <v>Charta, Santander, 68169</v>
      </c>
    </row>
    <row r="198" spans="1:7" x14ac:dyDescent="0.25">
      <c r="A198" t="s">
        <v>17</v>
      </c>
      <c r="B198">
        <v>25</v>
      </c>
      <c r="C198" t="s">
        <v>409</v>
      </c>
      <c r="D198">
        <v>25.175000000000001</v>
      </c>
      <c r="E198" t="str">
        <f t="shared" si="7"/>
        <v>25175</v>
      </c>
      <c r="F198" t="s">
        <v>1016</v>
      </c>
      <c r="G198" t="str">
        <f t="shared" si="6"/>
        <v>Chía, Cundinamarca, 25175</v>
      </c>
    </row>
    <row r="199" spans="1:7" x14ac:dyDescent="0.25">
      <c r="A199" t="s">
        <v>5</v>
      </c>
      <c r="B199">
        <v>5</v>
      </c>
      <c r="C199" t="s">
        <v>6</v>
      </c>
      <c r="D199">
        <v>5.1719999999999997</v>
      </c>
      <c r="E199" t="str">
        <f t="shared" si="7"/>
        <v>5172</v>
      </c>
      <c r="F199" t="s">
        <v>43</v>
      </c>
      <c r="G199" t="str">
        <f t="shared" si="6"/>
        <v>Chigorodó, Antioquia, 5172</v>
      </c>
    </row>
    <row r="200" spans="1:7" x14ac:dyDescent="0.25">
      <c r="A200" t="s">
        <v>56</v>
      </c>
      <c r="B200">
        <v>23</v>
      </c>
      <c r="C200" t="s">
        <v>57</v>
      </c>
      <c r="D200">
        <v>23.167999999999999</v>
      </c>
      <c r="E200" t="str">
        <f t="shared" si="7"/>
        <v>23168</v>
      </c>
      <c r="F200" t="s">
        <v>391</v>
      </c>
      <c r="G200" t="str">
        <f t="shared" si="6"/>
        <v>Chimá, Córdoba, 23168</v>
      </c>
    </row>
    <row r="201" spans="1:7" x14ac:dyDescent="0.25">
      <c r="A201" t="s">
        <v>17</v>
      </c>
      <c r="B201">
        <v>68</v>
      </c>
      <c r="C201" t="s">
        <v>104</v>
      </c>
      <c r="D201">
        <v>68.176000000000002</v>
      </c>
      <c r="E201" t="str">
        <f t="shared" si="7"/>
        <v>68176</v>
      </c>
      <c r="F201" t="s">
        <v>391</v>
      </c>
      <c r="G201" t="str">
        <f t="shared" si="6"/>
        <v>Chimá, Santander, 68176</v>
      </c>
    </row>
    <row r="202" spans="1:7" x14ac:dyDescent="0.25">
      <c r="A202" t="s">
        <v>56</v>
      </c>
      <c r="B202">
        <v>20</v>
      </c>
      <c r="C202" t="s">
        <v>362</v>
      </c>
      <c r="D202">
        <v>20.175000000000001</v>
      </c>
      <c r="E202" t="str">
        <f t="shared" si="7"/>
        <v>20175</v>
      </c>
      <c r="F202" t="s">
        <v>369</v>
      </c>
      <c r="G202" t="str">
        <f t="shared" si="6"/>
        <v>Chimichagua, Cesar, 20175</v>
      </c>
    </row>
    <row r="203" spans="1:7" x14ac:dyDescent="0.25">
      <c r="A203" t="s">
        <v>17</v>
      </c>
      <c r="B203">
        <v>54</v>
      </c>
      <c r="C203" t="s">
        <v>939</v>
      </c>
      <c r="D203">
        <v>54.171999999999997</v>
      </c>
      <c r="E203" t="str">
        <f t="shared" si="7"/>
        <v>54172</v>
      </c>
      <c r="F203" t="s">
        <v>976</v>
      </c>
      <c r="G203" t="str">
        <f t="shared" si="6"/>
        <v>Chinácota, Norte de Santander, 54172</v>
      </c>
    </row>
    <row r="204" spans="1:7" x14ac:dyDescent="0.25">
      <c r="A204" t="s">
        <v>17</v>
      </c>
      <c r="B204">
        <v>15</v>
      </c>
      <c r="C204" t="s">
        <v>18</v>
      </c>
      <c r="D204">
        <v>15.172000000000001</v>
      </c>
      <c r="E204" t="str">
        <f t="shared" si="7"/>
        <v>15172</v>
      </c>
      <c r="F204" t="s">
        <v>197</v>
      </c>
      <c r="G204" t="str">
        <f t="shared" si="6"/>
        <v>Chinavita, Boyacá, 15172</v>
      </c>
    </row>
    <row r="205" spans="1:7" x14ac:dyDescent="0.25">
      <c r="A205" t="s">
        <v>5</v>
      </c>
      <c r="B205">
        <v>17</v>
      </c>
      <c r="C205" t="s">
        <v>34</v>
      </c>
      <c r="D205">
        <v>17.173999999999999</v>
      </c>
      <c r="E205" t="str">
        <f t="shared" si="7"/>
        <v>17174</v>
      </c>
      <c r="F205" t="s">
        <v>295</v>
      </c>
      <c r="G205" t="str">
        <f t="shared" si="6"/>
        <v>Chinchiná, Caldas, 17174</v>
      </c>
    </row>
    <row r="206" spans="1:7" x14ac:dyDescent="0.25">
      <c r="A206" t="s">
        <v>56</v>
      </c>
      <c r="B206">
        <v>23</v>
      </c>
      <c r="C206" t="s">
        <v>57</v>
      </c>
      <c r="D206">
        <v>23.181999999999999</v>
      </c>
      <c r="E206" t="str">
        <f t="shared" si="7"/>
        <v>23182</v>
      </c>
      <c r="F206" t="s">
        <v>392</v>
      </c>
      <c r="G206" t="str">
        <f t="shared" si="6"/>
        <v>Chinú, Córdoba, 23182</v>
      </c>
    </row>
    <row r="207" spans="1:7" x14ac:dyDescent="0.25">
      <c r="A207" t="s">
        <v>17</v>
      </c>
      <c r="B207">
        <v>25</v>
      </c>
      <c r="C207" t="s">
        <v>409</v>
      </c>
      <c r="D207">
        <v>25.178000000000001</v>
      </c>
      <c r="E207" t="str">
        <f t="shared" si="7"/>
        <v>25178</v>
      </c>
      <c r="F207" t="s">
        <v>421</v>
      </c>
      <c r="G207" t="str">
        <f t="shared" si="6"/>
        <v>Chipaque, Cundinamarca, 25178</v>
      </c>
    </row>
    <row r="208" spans="1:7" x14ac:dyDescent="0.25">
      <c r="A208" t="s">
        <v>17</v>
      </c>
      <c r="B208">
        <v>68</v>
      </c>
      <c r="C208" t="s">
        <v>104</v>
      </c>
      <c r="D208">
        <v>68.179000000000002</v>
      </c>
      <c r="E208" t="str">
        <f t="shared" si="7"/>
        <v>68179</v>
      </c>
      <c r="F208" t="s">
        <v>690</v>
      </c>
      <c r="G208" t="str">
        <f t="shared" si="6"/>
        <v>Chipatá, Santander, 68179</v>
      </c>
    </row>
    <row r="209" spans="1:7" x14ac:dyDescent="0.25">
      <c r="A209" t="s">
        <v>17</v>
      </c>
      <c r="B209">
        <v>15</v>
      </c>
      <c r="C209" t="s">
        <v>18</v>
      </c>
      <c r="D209">
        <v>15.176</v>
      </c>
      <c r="E209" t="str">
        <f t="shared" si="7"/>
        <v>15176</v>
      </c>
      <c r="F209" t="s">
        <v>198</v>
      </c>
      <c r="G209" t="str">
        <f t="shared" si="6"/>
        <v>Chiquinquirá, Boyacá, 15176</v>
      </c>
    </row>
    <row r="210" spans="1:7" x14ac:dyDescent="0.25">
      <c r="A210" t="s">
        <v>17</v>
      </c>
      <c r="B210">
        <v>15</v>
      </c>
      <c r="C210" t="s">
        <v>18</v>
      </c>
      <c r="D210">
        <v>15.231999999999999</v>
      </c>
      <c r="E210" t="str">
        <f t="shared" si="7"/>
        <v>15232</v>
      </c>
      <c r="F210" t="s">
        <v>210</v>
      </c>
      <c r="G210" t="str">
        <f t="shared" si="6"/>
        <v>Chíquiza, Boyacá, 15232</v>
      </c>
    </row>
    <row r="211" spans="1:7" x14ac:dyDescent="0.25">
      <c r="A211" t="s">
        <v>56</v>
      </c>
      <c r="B211">
        <v>20</v>
      </c>
      <c r="C211" t="s">
        <v>362</v>
      </c>
      <c r="D211">
        <v>20.178000000000001</v>
      </c>
      <c r="E211" t="str">
        <f t="shared" si="7"/>
        <v>20178</v>
      </c>
      <c r="F211" t="s">
        <v>370</v>
      </c>
      <c r="G211" t="str">
        <f t="shared" si="6"/>
        <v>Chiriguaná, Cesar, 20178</v>
      </c>
    </row>
    <row r="212" spans="1:7" x14ac:dyDescent="0.25">
      <c r="A212" t="s">
        <v>17</v>
      </c>
      <c r="B212">
        <v>15</v>
      </c>
      <c r="C212" t="s">
        <v>18</v>
      </c>
      <c r="D212">
        <v>15.18</v>
      </c>
      <c r="E212" t="str">
        <f t="shared" si="7"/>
        <v>1518</v>
      </c>
      <c r="F212" t="s">
        <v>199</v>
      </c>
      <c r="G212" t="str">
        <f t="shared" si="6"/>
        <v>Chiscas, Boyacá, 1518</v>
      </c>
    </row>
    <row r="213" spans="1:7" x14ac:dyDescent="0.25">
      <c r="A213" t="s">
        <v>17</v>
      </c>
      <c r="B213">
        <v>15</v>
      </c>
      <c r="C213" t="s">
        <v>18</v>
      </c>
      <c r="D213">
        <v>15.183</v>
      </c>
      <c r="E213" t="str">
        <f t="shared" si="7"/>
        <v>15183</v>
      </c>
      <c r="F213" t="s">
        <v>200</v>
      </c>
      <c r="G213" t="str">
        <f t="shared" si="6"/>
        <v>Chita, Boyacá, 15183</v>
      </c>
    </row>
    <row r="214" spans="1:7" x14ac:dyDescent="0.25">
      <c r="A214" t="s">
        <v>17</v>
      </c>
      <c r="B214">
        <v>54</v>
      </c>
      <c r="C214" t="s">
        <v>939</v>
      </c>
      <c r="D214">
        <v>54.173999999999999</v>
      </c>
      <c r="E214" t="str">
        <f t="shared" si="7"/>
        <v>54174</v>
      </c>
      <c r="F214" t="s">
        <v>980</v>
      </c>
      <c r="G214" t="str">
        <f t="shared" si="6"/>
        <v>Chitagá, Norte de Santander, 54174</v>
      </c>
    </row>
    <row r="215" spans="1:7" x14ac:dyDescent="0.25">
      <c r="A215" t="s">
        <v>17</v>
      </c>
      <c r="B215">
        <v>15</v>
      </c>
      <c r="C215" t="s">
        <v>18</v>
      </c>
      <c r="D215">
        <v>15.185</v>
      </c>
      <c r="E215" t="str">
        <f t="shared" si="7"/>
        <v>15185</v>
      </c>
      <c r="F215" t="s">
        <v>201</v>
      </c>
      <c r="G215" t="str">
        <f t="shared" si="6"/>
        <v>Chitaraque, Boyacá, 15185</v>
      </c>
    </row>
    <row r="216" spans="1:7" x14ac:dyDescent="0.25">
      <c r="A216" t="s">
        <v>17</v>
      </c>
      <c r="B216">
        <v>15</v>
      </c>
      <c r="C216" t="s">
        <v>18</v>
      </c>
      <c r="D216">
        <v>15.186999999999999</v>
      </c>
      <c r="E216" t="str">
        <f t="shared" si="7"/>
        <v>15187</v>
      </c>
      <c r="F216" t="s">
        <v>202</v>
      </c>
      <c r="G216" t="str">
        <f t="shared" si="6"/>
        <v>Chivatá, Boyacá, 15187</v>
      </c>
    </row>
    <row r="217" spans="1:7" x14ac:dyDescent="0.25">
      <c r="A217" t="s">
        <v>56</v>
      </c>
      <c r="B217">
        <v>47</v>
      </c>
      <c r="C217" t="s">
        <v>570</v>
      </c>
      <c r="D217">
        <v>47.17</v>
      </c>
      <c r="E217" t="str">
        <f t="shared" si="7"/>
        <v>4717</v>
      </c>
      <c r="F217" t="s">
        <v>576</v>
      </c>
      <c r="G217" t="str">
        <f t="shared" si="6"/>
        <v>Chivolo, Magdalena, 4717</v>
      </c>
    </row>
    <row r="218" spans="1:7" x14ac:dyDescent="0.25">
      <c r="A218" t="s">
        <v>17</v>
      </c>
      <c r="B218">
        <v>15</v>
      </c>
      <c r="C218" t="s">
        <v>18</v>
      </c>
      <c r="D218">
        <v>15.236000000000001</v>
      </c>
      <c r="E218" t="str">
        <f t="shared" si="7"/>
        <v>15236</v>
      </c>
      <c r="F218" t="s">
        <v>211</v>
      </c>
      <c r="G218" t="str">
        <f t="shared" si="6"/>
        <v>Chivor, Boyacá, 15236</v>
      </c>
    </row>
    <row r="219" spans="1:7" x14ac:dyDescent="0.25">
      <c r="A219" t="s">
        <v>17</v>
      </c>
      <c r="B219">
        <v>25</v>
      </c>
      <c r="C219" t="s">
        <v>409</v>
      </c>
      <c r="D219">
        <v>25.181000000000001</v>
      </c>
      <c r="E219" t="str">
        <f t="shared" si="7"/>
        <v>25181</v>
      </c>
      <c r="F219" t="s">
        <v>422</v>
      </c>
      <c r="G219" t="str">
        <f t="shared" si="6"/>
        <v>Choachí, Cundinamarca, 25181</v>
      </c>
    </row>
    <row r="220" spans="1:7" x14ac:dyDescent="0.25">
      <c r="A220" t="s">
        <v>17</v>
      </c>
      <c r="B220">
        <v>25</v>
      </c>
      <c r="C220" t="s">
        <v>409</v>
      </c>
      <c r="D220">
        <v>25.183</v>
      </c>
      <c r="E220" t="str">
        <f t="shared" si="7"/>
        <v>25183</v>
      </c>
      <c r="F220" t="s">
        <v>423</v>
      </c>
      <c r="G220" t="str">
        <f t="shared" si="6"/>
        <v>Chocontá, Cundinamarca, 25183</v>
      </c>
    </row>
    <row r="221" spans="1:7" x14ac:dyDescent="0.25">
      <c r="A221" t="s">
        <v>56</v>
      </c>
      <c r="B221">
        <v>13</v>
      </c>
      <c r="C221" t="s">
        <v>154</v>
      </c>
      <c r="D221">
        <v>13.188000000000001</v>
      </c>
      <c r="E221" t="str">
        <f t="shared" si="7"/>
        <v>13188</v>
      </c>
      <c r="F221" t="s">
        <v>161</v>
      </c>
      <c r="G221" t="str">
        <f t="shared" si="6"/>
        <v>Cicuco, Bolívar, 13188</v>
      </c>
    </row>
    <row r="222" spans="1:7" x14ac:dyDescent="0.25">
      <c r="A222" t="s">
        <v>56</v>
      </c>
      <c r="B222">
        <v>23</v>
      </c>
      <c r="C222" t="s">
        <v>57</v>
      </c>
      <c r="D222">
        <v>23.189</v>
      </c>
      <c r="E222" t="str">
        <f t="shared" si="7"/>
        <v>23189</v>
      </c>
      <c r="F222" t="s">
        <v>921</v>
      </c>
      <c r="G222" t="str">
        <f t="shared" si="6"/>
        <v>Ciénaga de Oro, Córdoba, 23189</v>
      </c>
    </row>
    <row r="223" spans="1:7" x14ac:dyDescent="0.25">
      <c r="A223" t="s">
        <v>56</v>
      </c>
      <c r="B223">
        <v>47</v>
      </c>
      <c r="C223" t="s">
        <v>570</v>
      </c>
      <c r="D223">
        <v>47.189</v>
      </c>
      <c r="E223" t="str">
        <f t="shared" si="7"/>
        <v>47189</v>
      </c>
      <c r="F223" t="s">
        <v>1067</v>
      </c>
      <c r="G223" t="str">
        <f t="shared" si="6"/>
        <v>Ciénaga, Magdalena, 47189</v>
      </c>
    </row>
    <row r="224" spans="1:7" x14ac:dyDescent="0.25">
      <c r="A224" t="s">
        <v>17</v>
      </c>
      <c r="B224">
        <v>15</v>
      </c>
      <c r="C224" t="s">
        <v>18</v>
      </c>
      <c r="D224">
        <v>15.189</v>
      </c>
      <c r="E224" t="str">
        <f t="shared" si="7"/>
        <v>15189</v>
      </c>
      <c r="F224" t="s">
        <v>100</v>
      </c>
      <c r="G224" t="str">
        <f t="shared" si="6"/>
        <v>Ciénega, Boyacá, 15189</v>
      </c>
    </row>
    <row r="225" spans="1:7" x14ac:dyDescent="0.25">
      <c r="A225" t="s">
        <v>17</v>
      </c>
      <c r="B225">
        <v>68</v>
      </c>
      <c r="C225" t="s">
        <v>104</v>
      </c>
      <c r="D225">
        <v>68.19</v>
      </c>
      <c r="E225" t="str">
        <f t="shared" si="7"/>
        <v>6819</v>
      </c>
      <c r="F225" t="s">
        <v>691</v>
      </c>
      <c r="G225" t="str">
        <f t="shared" si="6"/>
        <v>Cimitarra, Santander, 6819</v>
      </c>
    </row>
    <row r="226" spans="1:7" x14ac:dyDescent="0.25">
      <c r="A226" t="s">
        <v>5</v>
      </c>
      <c r="B226">
        <v>63</v>
      </c>
      <c r="C226" t="s">
        <v>660</v>
      </c>
      <c r="D226">
        <v>63.19</v>
      </c>
      <c r="E226" t="str">
        <f t="shared" si="7"/>
        <v>6319</v>
      </c>
      <c r="F226" t="s">
        <v>661</v>
      </c>
      <c r="G226" t="str">
        <f t="shared" si="6"/>
        <v>Circasia, Quindío, 6319</v>
      </c>
    </row>
    <row r="227" spans="1:7" x14ac:dyDescent="0.25">
      <c r="A227" t="s">
        <v>5</v>
      </c>
      <c r="B227">
        <v>5</v>
      </c>
      <c r="C227" t="s">
        <v>6</v>
      </c>
      <c r="D227">
        <v>5.19</v>
      </c>
      <c r="E227" t="str">
        <f t="shared" si="7"/>
        <v>519</v>
      </c>
      <c r="F227" t="s">
        <v>44</v>
      </c>
      <c r="G227" t="str">
        <f t="shared" si="6"/>
        <v>Cisneros, Antioquia, 519</v>
      </c>
    </row>
    <row r="228" spans="1:7" x14ac:dyDescent="0.25">
      <c r="A228" t="s">
        <v>5</v>
      </c>
      <c r="B228">
        <v>5</v>
      </c>
      <c r="C228" t="s">
        <v>6</v>
      </c>
      <c r="D228">
        <v>5.101</v>
      </c>
      <c r="E228" t="str">
        <f t="shared" si="7"/>
        <v>5101</v>
      </c>
      <c r="F228" t="s">
        <v>29</v>
      </c>
      <c r="G228" t="str">
        <f t="shared" si="6"/>
        <v>Ciudad Bolívar, Antioquia, 5101</v>
      </c>
    </row>
    <row r="229" spans="1:7" x14ac:dyDescent="0.25">
      <c r="A229" t="s">
        <v>56</v>
      </c>
      <c r="B229">
        <v>13</v>
      </c>
      <c r="C229" t="s">
        <v>154</v>
      </c>
      <c r="D229">
        <v>13.222</v>
      </c>
      <c r="E229" t="str">
        <f t="shared" si="7"/>
        <v>13222</v>
      </c>
      <c r="F229" t="s">
        <v>162</v>
      </c>
      <c r="G229" t="str">
        <f t="shared" si="6"/>
        <v>Clemencia, Bolívar, 13222</v>
      </c>
    </row>
    <row r="230" spans="1:7" x14ac:dyDescent="0.25">
      <c r="A230" t="s">
        <v>5</v>
      </c>
      <c r="B230">
        <v>5</v>
      </c>
      <c r="C230" t="s">
        <v>6</v>
      </c>
      <c r="D230">
        <v>5.1970000000000001</v>
      </c>
      <c r="E230" t="str">
        <f t="shared" si="7"/>
        <v>5197</v>
      </c>
      <c r="F230" t="s">
        <v>45</v>
      </c>
      <c r="G230" t="str">
        <f t="shared" si="6"/>
        <v>Cocorná, Antioquia, 5197</v>
      </c>
    </row>
    <row r="231" spans="1:7" x14ac:dyDescent="0.25">
      <c r="A231" t="s">
        <v>316</v>
      </c>
      <c r="B231">
        <v>73</v>
      </c>
      <c r="C231" t="s">
        <v>757</v>
      </c>
      <c r="D231">
        <v>73.2</v>
      </c>
      <c r="E231" t="str">
        <f t="shared" si="7"/>
        <v>732</v>
      </c>
      <c r="F231" t="s">
        <v>765</v>
      </c>
      <c r="G231" t="str">
        <f t="shared" si="6"/>
        <v>Coello, Tolima, 732</v>
      </c>
    </row>
    <row r="232" spans="1:7" x14ac:dyDescent="0.25">
      <c r="A232" t="s">
        <v>17</v>
      </c>
      <c r="B232">
        <v>25</v>
      </c>
      <c r="C232" t="s">
        <v>409</v>
      </c>
      <c r="D232">
        <v>25.2</v>
      </c>
      <c r="E232" t="str">
        <f t="shared" si="7"/>
        <v>252</v>
      </c>
      <c r="F232" t="s">
        <v>424</v>
      </c>
      <c r="G232" t="str">
        <f t="shared" si="6"/>
        <v>Cogua, Cundinamarca, 252</v>
      </c>
    </row>
    <row r="233" spans="1:7" x14ac:dyDescent="0.25">
      <c r="A233" t="s">
        <v>316</v>
      </c>
      <c r="B233">
        <v>41</v>
      </c>
      <c r="C233" t="s">
        <v>525</v>
      </c>
      <c r="D233">
        <v>41.206000000000003</v>
      </c>
      <c r="E233" t="str">
        <f t="shared" si="7"/>
        <v>41206</v>
      </c>
      <c r="F233" t="s">
        <v>534</v>
      </c>
      <c r="G233" t="str">
        <f t="shared" si="6"/>
        <v>Colombia, Huila, 41206</v>
      </c>
    </row>
    <row r="234" spans="1:7" x14ac:dyDescent="0.25">
      <c r="A234" t="s">
        <v>62</v>
      </c>
      <c r="B234">
        <v>52</v>
      </c>
      <c r="C234" t="s">
        <v>84</v>
      </c>
      <c r="D234">
        <v>52.203000000000003</v>
      </c>
      <c r="E234" t="str">
        <f t="shared" si="7"/>
        <v>52203</v>
      </c>
      <c r="F234" t="s">
        <v>617</v>
      </c>
      <c r="G234" t="str">
        <f t="shared" si="6"/>
        <v>Colón, Nariño, 52203</v>
      </c>
    </row>
    <row r="235" spans="1:7" x14ac:dyDescent="0.25">
      <c r="A235" t="s">
        <v>316</v>
      </c>
      <c r="B235">
        <v>86</v>
      </c>
      <c r="C235" t="s">
        <v>814</v>
      </c>
      <c r="D235">
        <v>86.218999999999994</v>
      </c>
      <c r="E235" t="str">
        <f t="shared" si="7"/>
        <v>86219</v>
      </c>
      <c r="F235" t="s">
        <v>617</v>
      </c>
      <c r="G235" t="str">
        <f t="shared" si="6"/>
        <v>Colón, Putumayo, 86219</v>
      </c>
    </row>
    <row r="236" spans="1:7" x14ac:dyDescent="0.25">
      <c r="A236" t="s">
        <v>56</v>
      </c>
      <c r="B236">
        <v>70</v>
      </c>
      <c r="C236" t="s">
        <v>356</v>
      </c>
      <c r="D236">
        <v>70.203999999999994</v>
      </c>
      <c r="E236" t="str">
        <f t="shared" si="7"/>
        <v>70204</v>
      </c>
      <c r="F236" t="s">
        <v>742</v>
      </c>
      <c r="G236" t="str">
        <f t="shared" si="6"/>
        <v>Coloso, Sucre, 70204</v>
      </c>
    </row>
    <row r="237" spans="1:7" x14ac:dyDescent="0.25">
      <c r="A237" t="s">
        <v>17</v>
      </c>
      <c r="B237">
        <v>15</v>
      </c>
      <c r="C237" t="s">
        <v>18</v>
      </c>
      <c r="D237">
        <v>15.204000000000001</v>
      </c>
      <c r="E237" t="str">
        <f t="shared" si="7"/>
        <v>15204</v>
      </c>
      <c r="F237" t="s">
        <v>203</v>
      </c>
      <c r="G237" t="str">
        <f t="shared" si="6"/>
        <v>Cómbita, Boyacá, 15204</v>
      </c>
    </row>
    <row r="238" spans="1:7" x14ac:dyDescent="0.25">
      <c r="A238" t="s">
        <v>5</v>
      </c>
      <c r="B238">
        <v>5</v>
      </c>
      <c r="C238" t="s">
        <v>6</v>
      </c>
      <c r="D238">
        <v>5.2060000000000004</v>
      </c>
      <c r="E238" t="str">
        <f t="shared" si="7"/>
        <v>5206</v>
      </c>
      <c r="F238" t="s">
        <v>46</v>
      </c>
      <c r="G238" t="str">
        <f t="shared" si="6"/>
        <v>Concepción, Antioquia, 5206</v>
      </c>
    </row>
    <row r="239" spans="1:7" x14ac:dyDescent="0.25">
      <c r="A239" t="s">
        <v>17</v>
      </c>
      <c r="B239">
        <v>68</v>
      </c>
      <c r="C239" t="s">
        <v>104</v>
      </c>
      <c r="D239">
        <v>68.206999999999994</v>
      </c>
      <c r="E239" t="str">
        <f t="shared" si="7"/>
        <v>68207</v>
      </c>
      <c r="F239" t="s">
        <v>46</v>
      </c>
      <c r="G239" t="str">
        <f t="shared" si="6"/>
        <v>Concepción, Santander, 68207</v>
      </c>
    </row>
    <row r="240" spans="1:7" x14ac:dyDescent="0.25">
      <c r="A240" t="s">
        <v>5</v>
      </c>
      <c r="B240">
        <v>5</v>
      </c>
      <c r="C240" t="s">
        <v>6</v>
      </c>
      <c r="D240">
        <v>5.2089999999999996</v>
      </c>
      <c r="E240" t="str">
        <f t="shared" si="7"/>
        <v>5209</v>
      </c>
      <c r="F240" t="s">
        <v>47</v>
      </c>
      <c r="G240" t="str">
        <f t="shared" si="6"/>
        <v>Concordia, Antioquia, 5209</v>
      </c>
    </row>
    <row r="241" spans="1:7" x14ac:dyDescent="0.25">
      <c r="A241" t="s">
        <v>56</v>
      </c>
      <c r="B241">
        <v>47</v>
      </c>
      <c r="C241" t="s">
        <v>570</v>
      </c>
      <c r="D241">
        <v>47.204999999999998</v>
      </c>
      <c r="E241" t="str">
        <f t="shared" si="7"/>
        <v>47205</v>
      </c>
      <c r="F241" t="s">
        <v>47</v>
      </c>
      <c r="G241" t="str">
        <f t="shared" si="6"/>
        <v>Concordia, Magdalena, 47205</v>
      </c>
    </row>
    <row r="242" spans="1:7" x14ac:dyDescent="0.25">
      <c r="A242" t="s">
        <v>62</v>
      </c>
      <c r="B242">
        <v>27</v>
      </c>
      <c r="C242" t="s">
        <v>63</v>
      </c>
      <c r="D242">
        <v>27.204999999999998</v>
      </c>
      <c r="E242" t="str">
        <f t="shared" si="7"/>
        <v>27205</v>
      </c>
      <c r="F242" t="s">
        <v>513</v>
      </c>
      <c r="G242" t="str">
        <f t="shared" si="6"/>
        <v>Condoto, Chocó, 27205</v>
      </c>
    </row>
    <row r="243" spans="1:7" x14ac:dyDescent="0.25">
      <c r="A243" t="s">
        <v>17</v>
      </c>
      <c r="B243">
        <v>68</v>
      </c>
      <c r="C243" t="s">
        <v>104</v>
      </c>
      <c r="D243">
        <v>68.209000000000003</v>
      </c>
      <c r="E243" t="str">
        <f t="shared" si="7"/>
        <v>68209</v>
      </c>
      <c r="F243" t="s">
        <v>692</v>
      </c>
      <c r="G243" t="str">
        <f t="shared" si="6"/>
        <v>Confines, Santander, 68209</v>
      </c>
    </row>
    <row r="244" spans="1:7" x14ac:dyDescent="0.25">
      <c r="A244" t="s">
        <v>62</v>
      </c>
      <c r="B244">
        <v>52</v>
      </c>
      <c r="C244" t="s">
        <v>84</v>
      </c>
      <c r="D244">
        <v>52.207000000000001</v>
      </c>
      <c r="E244" t="str">
        <f t="shared" si="7"/>
        <v>52207</v>
      </c>
      <c r="F244" t="s">
        <v>618</v>
      </c>
      <c r="G244" t="str">
        <f t="shared" si="6"/>
        <v>Consaca, Nariño, 52207</v>
      </c>
    </row>
    <row r="245" spans="1:7" x14ac:dyDescent="0.25">
      <c r="A245" t="s">
        <v>62</v>
      </c>
      <c r="B245">
        <v>52</v>
      </c>
      <c r="C245" t="s">
        <v>84</v>
      </c>
      <c r="D245">
        <v>52.21</v>
      </c>
      <c r="E245" t="str">
        <f t="shared" si="7"/>
        <v>5221</v>
      </c>
      <c r="F245" t="s">
        <v>619</v>
      </c>
      <c r="G245" t="str">
        <f t="shared" si="6"/>
        <v>Contadero, Nariño, 5221</v>
      </c>
    </row>
    <row r="246" spans="1:7" x14ac:dyDescent="0.25">
      <c r="A246" t="s">
        <v>17</v>
      </c>
      <c r="B246">
        <v>68</v>
      </c>
      <c r="C246" t="s">
        <v>104</v>
      </c>
      <c r="D246">
        <v>68.210999999999999</v>
      </c>
      <c r="E246" t="str">
        <f t="shared" si="7"/>
        <v>68211</v>
      </c>
      <c r="F246" t="s">
        <v>693</v>
      </c>
      <c r="G246" t="str">
        <f t="shared" si="6"/>
        <v>Contratación, Santander, 68211</v>
      </c>
    </row>
    <row r="247" spans="1:7" x14ac:dyDescent="0.25">
      <c r="A247" t="s">
        <v>17</v>
      </c>
      <c r="B247">
        <v>54</v>
      </c>
      <c r="C247" t="s">
        <v>939</v>
      </c>
      <c r="D247">
        <v>54.206000000000003</v>
      </c>
      <c r="E247" t="str">
        <f t="shared" si="7"/>
        <v>54206</v>
      </c>
      <c r="F247" t="s">
        <v>965</v>
      </c>
      <c r="G247" t="str">
        <f t="shared" si="6"/>
        <v>Convención, Norte de Santander, 54206</v>
      </c>
    </row>
    <row r="248" spans="1:7" x14ac:dyDescent="0.25">
      <c r="A248" t="s">
        <v>5</v>
      </c>
      <c r="B248">
        <v>5</v>
      </c>
      <c r="C248" t="s">
        <v>6</v>
      </c>
      <c r="D248">
        <v>5.2119999999999997</v>
      </c>
      <c r="E248" t="str">
        <f t="shared" si="7"/>
        <v>5212</v>
      </c>
      <c r="F248" t="s">
        <v>48</v>
      </c>
      <c r="G248" t="str">
        <f t="shared" si="6"/>
        <v>Copacabana, Antioquia, 5212</v>
      </c>
    </row>
    <row r="249" spans="1:7" x14ac:dyDescent="0.25">
      <c r="A249" t="s">
        <v>17</v>
      </c>
      <c r="B249">
        <v>15</v>
      </c>
      <c r="C249" t="s">
        <v>18</v>
      </c>
      <c r="D249">
        <v>15.212</v>
      </c>
      <c r="E249" t="str">
        <f t="shared" si="7"/>
        <v>15212</v>
      </c>
      <c r="F249" t="s">
        <v>204</v>
      </c>
      <c r="G249" t="str">
        <f t="shared" si="6"/>
        <v>Coper, Boyacá, 15212</v>
      </c>
    </row>
    <row r="250" spans="1:7" x14ac:dyDescent="0.25">
      <c r="A250" t="s">
        <v>56</v>
      </c>
      <c r="B250">
        <v>13</v>
      </c>
      <c r="C250" t="s">
        <v>154</v>
      </c>
      <c r="D250">
        <v>13.212</v>
      </c>
      <c r="E250" t="str">
        <f t="shared" si="7"/>
        <v>13212</v>
      </c>
      <c r="F250" t="s">
        <v>57</v>
      </c>
      <c r="G250" t="str">
        <f t="shared" si="6"/>
        <v>Córdoba, Bolívar, 13212</v>
      </c>
    </row>
    <row r="251" spans="1:7" x14ac:dyDescent="0.25">
      <c r="A251" t="s">
        <v>62</v>
      </c>
      <c r="B251">
        <v>52</v>
      </c>
      <c r="C251" t="s">
        <v>84</v>
      </c>
      <c r="D251">
        <v>52.215000000000003</v>
      </c>
      <c r="E251" t="str">
        <f t="shared" si="7"/>
        <v>52215</v>
      </c>
      <c r="F251" t="s">
        <v>57</v>
      </c>
      <c r="G251" t="str">
        <f t="shared" si="6"/>
        <v>Córdoba, Nariño, 52215</v>
      </c>
    </row>
    <row r="252" spans="1:7" x14ac:dyDescent="0.25">
      <c r="A252" t="s">
        <v>5</v>
      </c>
      <c r="B252">
        <v>63</v>
      </c>
      <c r="C252" t="s">
        <v>660</v>
      </c>
      <c r="D252">
        <v>63.212000000000003</v>
      </c>
      <c r="E252" t="str">
        <f t="shared" si="7"/>
        <v>63212</v>
      </c>
      <c r="F252" t="s">
        <v>57</v>
      </c>
      <c r="G252" t="str">
        <f t="shared" si="6"/>
        <v>Córdoba, Quindío, 63212</v>
      </c>
    </row>
    <row r="253" spans="1:7" x14ac:dyDescent="0.25">
      <c r="A253" t="s">
        <v>62</v>
      </c>
      <c r="B253">
        <v>19</v>
      </c>
      <c r="C253" t="s">
        <v>327</v>
      </c>
      <c r="D253">
        <v>19.212</v>
      </c>
      <c r="E253" t="str">
        <f t="shared" si="7"/>
        <v>19212</v>
      </c>
      <c r="F253" t="s">
        <v>335</v>
      </c>
      <c r="G253" t="str">
        <f t="shared" si="6"/>
        <v>Corinto, Cauca, 19212</v>
      </c>
    </row>
    <row r="254" spans="1:7" x14ac:dyDescent="0.25">
      <c r="A254" t="s">
        <v>17</v>
      </c>
      <c r="B254">
        <v>68</v>
      </c>
      <c r="C254" t="s">
        <v>104</v>
      </c>
      <c r="D254">
        <v>68.216999999999999</v>
      </c>
      <c r="E254" t="str">
        <f t="shared" si="7"/>
        <v>68217</v>
      </c>
      <c r="F254" t="s">
        <v>694</v>
      </c>
      <c r="G254" t="str">
        <f t="shared" si="6"/>
        <v>Coromoro, Santander, 68217</v>
      </c>
    </row>
    <row r="255" spans="1:7" x14ac:dyDescent="0.25">
      <c r="A255" t="s">
        <v>56</v>
      </c>
      <c r="B255">
        <v>70</v>
      </c>
      <c r="C255" t="s">
        <v>356</v>
      </c>
      <c r="D255">
        <v>70.215000000000003</v>
      </c>
      <c r="E255" t="str">
        <f t="shared" si="7"/>
        <v>70215</v>
      </c>
      <c r="F255" t="s">
        <v>1009</v>
      </c>
      <c r="G255" t="str">
        <f t="shared" si="6"/>
        <v>Corozal, Sucre, 70215</v>
      </c>
    </row>
    <row r="256" spans="1:7" x14ac:dyDescent="0.25">
      <c r="A256" t="s">
        <v>17</v>
      </c>
      <c r="B256">
        <v>15</v>
      </c>
      <c r="C256" t="s">
        <v>18</v>
      </c>
      <c r="D256">
        <v>15.215</v>
      </c>
      <c r="E256" t="str">
        <f t="shared" si="7"/>
        <v>15215</v>
      </c>
      <c r="F256" t="s">
        <v>205</v>
      </c>
      <c r="G256" t="str">
        <f t="shared" si="6"/>
        <v>Corrales, Boyacá, 15215</v>
      </c>
    </row>
    <row r="257" spans="1:7" x14ac:dyDescent="0.25">
      <c r="A257" t="s">
        <v>17</v>
      </c>
      <c r="B257">
        <v>25</v>
      </c>
      <c r="C257" t="s">
        <v>409</v>
      </c>
      <c r="D257">
        <v>25.213999999999999</v>
      </c>
      <c r="E257" t="str">
        <f t="shared" si="7"/>
        <v>25214</v>
      </c>
      <c r="F257" t="s">
        <v>425</v>
      </c>
      <c r="G257" t="str">
        <f t="shared" si="6"/>
        <v>Cota, Cundinamarca, 25214</v>
      </c>
    </row>
    <row r="258" spans="1:7" x14ac:dyDescent="0.25">
      <c r="A258" t="s">
        <v>56</v>
      </c>
      <c r="B258">
        <v>23</v>
      </c>
      <c r="C258" t="s">
        <v>57</v>
      </c>
      <c r="D258">
        <v>23.3</v>
      </c>
      <c r="E258" t="str">
        <f t="shared" si="7"/>
        <v>233</v>
      </c>
      <c r="F258" t="s">
        <v>393</v>
      </c>
      <c r="G258" t="str">
        <f t="shared" ref="G258:G321" si="8">_xlfn.CONCAT(F258,", ",C258,", ",E258)</f>
        <v>Cotorra, Córdoba, 233</v>
      </c>
    </row>
    <row r="259" spans="1:7" x14ac:dyDescent="0.25">
      <c r="A259" t="s">
        <v>17</v>
      </c>
      <c r="B259">
        <v>15</v>
      </c>
      <c r="C259" t="s">
        <v>18</v>
      </c>
      <c r="D259">
        <v>15.218</v>
      </c>
      <c r="E259" t="str">
        <f t="shared" ref="E259:E322" si="9">SUBSTITUTE(D259, ".", "",1)</f>
        <v>15218</v>
      </c>
      <c r="F259" t="s">
        <v>206</v>
      </c>
      <c r="G259" t="str">
        <f t="shared" si="8"/>
        <v>Covarachía, Boyacá, 15218</v>
      </c>
    </row>
    <row r="260" spans="1:7" x14ac:dyDescent="0.25">
      <c r="A260" t="s">
        <v>56</v>
      </c>
      <c r="B260">
        <v>70</v>
      </c>
      <c r="C260" t="s">
        <v>356</v>
      </c>
      <c r="D260">
        <v>70.221000000000004</v>
      </c>
      <c r="E260" t="str">
        <f t="shared" si="9"/>
        <v>70221</v>
      </c>
      <c r="F260" t="s">
        <v>743</v>
      </c>
      <c r="G260" t="str">
        <f t="shared" si="8"/>
        <v>Coveñas, Sucre, 70221</v>
      </c>
    </row>
    <row r="261" spans="1:7" x14ac:dyDescent="0.25">
      <c r="A261" t="s">
        <v>316</v>
      </c>
      <c r="B261">
        <v>73</v>
      </c>
      <c r="C261" t="s">
        <v>757</v>
      </c>
      <c r="D261">
        <v>73.216999999999999</v>
      </c>
      <c r="E261" t="str">
        <f t="shared" si="9"/>
        <v>73217</v>
      </c>
      <c r="F261" t="s">
        <v>766</v>
      </c>
      <c r="G261" t="str">
        <f t="shared" si="8"/>
        <v>Coyaima, Tolima, 73217</v>
      </c>
    </row>
    <row r="262" spans="1:7" x14ac:dyDescent="0.25">
      <c r="A262" t="s">
        <v>117</v>
      </c>
      <c r="B262">
        <v>81</v>
      </c>
      <c r="C262" t="s">
        <v>795</v>
      </c>
      <c r="D262">
        <v>81.22</v>
      </c>
      <c r="E262" t="str">
        <f t="shared" si="9"/>
        <v>8122</v>
      </c>
      <c r="F262" t="s">
        <v>797</v>
      </c>
      <c r="G262" t="str">
        <f t="shared" si="8"/>
        <v>Cravo Norte, Arauca, 8122</v>
      </c>
    </row>
    <row r="263" spans="1:7" x14ac:dyDescent="0.25">
      <c r="A263" t="s">
        <v>62</v>
      </c>
      <c r="B263">
        <v>52</v>
      </c>
      <c r="C263" t="s">
        <v>84</v>
      </c>
      <c r="D263">
        <v>52.223999999999997</v>
      </c>
      <c r="E263" t="str">
        <f t="shared" si="9"/>
        <v>52224</v>
      </c>
      <c r="F263" t="s">
        <v>620</v>
      </c>
      <c r="G263" t="str">
        <f t="shared" si="8"/>
        <v>Cuaspud, Nariño, 52224</v>
      </c>
    </row>
    <row r="264" spans="1:7" x14ac:dyDescent="0.25">
      <c r="A264" t="s">
        <v>17</v>
      </c>
      <c r="B264">
        <v>15</v>
      </c>
      <c r="C264" t="s">
        <v>18</v>
      </c>
      <c r="D264">
        <v>15.223000000000001</v>
      </c>
      <c r="E264" t="str">
        <f t="shared" si="9"/>
        <v>15223</v>
      </c>
      <c r="F264" t="s">
        <v>207</v>
      </c>
      <c r="G264" t="str">
        <f t="shared" si="8"/>
        <v>Cubará, Boyacá, 15223</v>
      </c>
    </row>
    <row r="265" spans="1:7" x14ac:dyDescent="0.25">
      <c r="A265" t="s">
        <v>117</v>
      </c>
      <c r="B265">
        <v>50</v>
      </c>
      <c r="C265" t="s">
        <v>118</v>
      </c>
      <c r="D265">
        <v>50.222999999999999</v>
      </c>
      <c r="E265" t="str">
        <f t="shared" si="9"/>
        <v>50223</v>
      </c>
      <c r="F265" t="s">
        <v>596</v>
      </c>
      <c r="G265" t="str">
        <f t="shared" si="8"/>
        <v>Cubarral, Meta, 50223</v>
      </c>
    </row>
    <row r="266" spans="1:7" x14ac:dyDescent="0.25">
      <c r="A266" t="s">
        <v>17</v>
      </c>
      <c r="B266">
        <v>15</v>
      </c>
      <c r="C266" t="s">
        <v>18</v>
      </c>
      <c r="D266">
        <v>15.224</v>
      </c>
      <c r="E266" t="str">
        <f t="shared" si="9"/>
        <v>15224</v>
      </c>
      <c r="F266" t="s">
        <v>208</v>
      </c>
      <c r="G266" t="str">
        <f t="shared" si="8"/>
        <v>Cucaita, Boyacá, 15224</v>
      </c>
    </row>
    <row r="267" spans="1:7" x14ac:dyDescent="0.25">
      <c r="A267" t="s">
        <v>17</v>
      </c>
      <c r="B267">
        <v>25</v>
      </c>
      <c r="C267" t="s">
        <v>409</v>
      </c>
      <c r="D267">
        <v>25.224</v>
      </c>
      <c r="E267" t="str">
        <f t="shared" si="9"/>
        <v>25224</v>
      </c>
      <c r="F267" t="s">
        <v>426</v>
      </c>
      <c r="G267" t="str">
        <f t="shared" si="8"/>
        <v>Cucunubá, Cundinamarca, 25224</v>
      </c>
    </row>
    <row r="268" spans="1:7" x14ac:dyDescent="0.25">
      <c r="A268" t="s">
        <v>17</v>
      </c>
      <c r="B268">
        <v>54</v>
      </c>
      <c r="C268" t="s">
        <v>939</v>
      </c>
      <c r="D268">
        <v>54.000999999999998</v>
      </c>
      <c r="E268" t="str">
        <f t="shared" si="9"/>
        <v>54001</v>
      </c>
      <c r="F268" t="s">
        <v>1035</v>
      </c>
      <c r="G268" t="str">
        <f t="shared" si="8"/>
        <v>Cúcuta, Norte de Santander, 54001</v>
      </c>
    </row>
    <row r="269" spans="1:7" x14ac:dyDescent="0.25">
      <c r="A269" t="s">
        <v>17</v>
      </c>
      <c r="B269">
        <v>54</v>
      </c>
      <c r="C269" t="s">
        <v>939</v>
      </c>
      <c r="D269">
        <v>54.222999999999999</v>
      </c>
      <c r="E269" t="str">
        <f t="shared" si="9"/>
        <v>54223</v>
      </c>
      <c r="F269" t="s">
        <v>950</v>
      </c>
      <c r="G269" t="str">
        <f t="shared" si="8"/>
        <v>Cucutilla, Norte de Santander, 54223</v>
      </c>
    </row>
    <row r="270" spans="1:7" x14ac:dyDescent="0.25">
      <c r="A270" t="s">
        <v>17</v>
      </c>
      <c r="B270">
        <v>15</v>
      </c>
      <c r="C270" t="s">
        <v>18</v>
      </c>
      <c r="D270">
        <v>15.226000000000001</v>
      </c>
      <c r="E270" t="str">
        <f t="shared" si="9"/>
        <v>15226</v>
      </c>
      <c r="F270" t="s">
        <v>209</v>
      </c>
      <c r="G270" t="str">
        <f t="shared" si="8"/>
        <v>Cuítiva, Boyacá, 15226</v>
      </c>
    </row>
    <row r="271" spans="1:7" x14ac:dyDescent="0.25">
      <c r="A271" t="s">
        <v>117</v>
      </c>
      <c r="B271">
        <v>50</v>
      </c>
      <c r="C271" t="s">
        <v>118</v>
      </c>
      <c r="D271">
        <v>50.225999999999999</v>
      </c>
      <c r="E271" t="str">
        <f t="shared" si="9"/>
        <v>50226</v>
      </c>
      <c r="F271" t="s">
        <v>597</v>
      </c>
      <c r="G271" t="str">
        <f t="shared" si="8"/>
        <v>Cumaral, Meta, 50226</v>
      </c>
    </row>
    <row r="272" spans="1:7" x14ac:dyDescent="0.25">
      <c r="A272" t="s">
        <v>117</v>
      </c>
      <c r="B272">
        <v>99</v>
      </c>
      <c r="C272" t="s">
        <v>848</v>
      </c>
      <c r="D272">
        <v>99.772999999999996</v>
      </c>
      <c r="E272" t="str">
        <f t="shared" si="9"/>
        <v>99773</v>
      </c>
      <c r="F272" t="s">
        <v>852</v>
      </c>
      <c r="G272" t="str">
        <f t="shared" si="8"/>
        <v>Cumaribo, Vichada, 99773</v>
      </c>
    </row>
    <row r="273" spans="1:7" x14ac:dyDescent="0.25">
      <c r="A273" t="s">
        <v>62</v>
      </c>
      <c r="B273">
        <v>52</v>
      </c>
      <c r="C273" t="s">
        <v>84</v>
      </c>
      <c r="D273">
        <v>52.226999999999997</v>
      </c>
      <c r="E273" t="str">
        <f t="shared" si="9"/>
        <v>52227</v>
      </c>
      <c r="F273" t="s">
        <v>621</v>
      </c>
      <c r="G273" t="str">
        <f t="shared" si="8"/>
        <v>Cumbal, Nariño, 52227</v>
      </c>
    </row>
    <row r="274" spans="1:7" x14ac:dyDescent="0.25">
      <c r="A274" t="s">
        <v>62</v>
      </c>
      <c r="B274">
        <v>52</v>
      </c>
      <c r="C274" t="s">
        <v>84</v>
      </c>
      <c r="D274">
        <v>52.232999999999997</v>
      </c>
      <c r="E274" t="str">
        <f t="shared" si="9"/>
        <v>52233</v>
      </c>
      <c r="F274" t="s">
        <v>622</v>
      </c>
      <c r="G274" t="str">
        <f t="shared" si="8"/>
        <v>Cumbitara, Nariño, 52233</v>
      </c>
    </row>
    <row r="275" spans="1:7" x14ac:dyDescent="0.25">
      <c r="A275" t="s">
        <v>316</v>
      </c>
      <c r="B275">
        <v>73</v>
      </c>
      <c r="C275" t="s">
        <v>757</v>
      </c>
      <c r="D275">
        <v>73.225999999999999</v>
      </c>
      <c r="E275" t="str">
        <f t="shared" si="9"/>
        <v>73226</v>
      </c>
      <c r="F275" t="s">
        <v>767</v>
      </c>
      <c r="G275" t="str">
        <f t="shared" si="8"/>
        <v>Cunday, Tolima, 73226</v>
      </c>
    </row>
    <row r="276" spans="1:7" x14ac:dyDescent="0.25">
      <c r="A276" t="s">
        <v>316</v>
      </c>
      <c r="B276">
        <v>18</v>
      </c>
      <c r="C276" t="s">
        <v>317</v>
      </c>
      <c r="D276">
        <v>18.204999999999998</v>
      </c>
      <c r="E276" t="str">
        <f t="shared" si="9"/>
        <v>18205</v>
      </c>
      <c r="F276" t="s">
        <v>320</v>
      </c>
      <c r="G276" t="str">
        <f t="shared" si="8"/>
        <v>Curillo, Caquetá, 18205</v>
      </c>
    </row>
    <row r="277" spans="1:7" x14ac:dyDescent="0.25">
      <c r="A277" t="s">
        <v>17</v>
      </c>
      <c r="B277">
        <v>68</v>
      </c>
      <c r="C277" t="s">
        <v>104</v>
      </c>
      <c r="D277">
        <v>68.228999999999999</v>
      </c>
      <c r="E277" t="str">
        <f t="shared" si="9"/>
        <v>68229</v>
      </c>
      <c r="F277" t="s">
        <v>695</v>
      </c>
      <c r="G277" t="str">
        <f t="shared" si="8"/>
        <v>Curití, Santander, 68229</v>
      </c>
    </row>
    <row r="278" spans="1:7" x14ac:dyDescent="0.25">
      <c r="A278" t="s">
        <v>56</v>
      </c>
      <c r="B278">
        <v>20</v>
      </c>
      <c r="C278" t="s">
        <v>362</v>
      </c>
      <c r="D278">
        <v>20.228000000000002</v>
      </c>
      <c r="E278" t="str">
        <f t="shared" si="9"/>
        <v>20228</v>
      </c>
      <c r="F278" t="s">
        <v>371</v>
      </c>
      <c r="G278" t="str">
        <f t="shared" si="8"/>
        <v>Curumaní, Cesar, 20228</v>
      </c>
    </row>
    <row r="279" spans="1:7" x14ac:dyDescent="0.25">
      <c r="A279" t="s">
        <v>5</v>
      </c>
      <c r="B279">
        <v>5</v>
      </c>
      <c r="C279" t="s">
        <v>6</v>
      </c>
      <c r="D279">
        <v>5.234</v>
      </c>
      <c r="E279" t="str">
        <f t="shared" si="9"/>
        <v>5234</v>
      </c>
      <c r="F279" t="s">
        <v>49</v>
      </c>
      <c r="G279" t="str">
        <f t="shared" si="8"/>
        <v>Dabeiba, Antioquia, 5234</v>
      </c>
    </row>
    <row r="280" spans="1:7" x14ac:dyDescent="0.25">
      <c r="A280" t="s">
        <v>62</v>
      </c>
      <c r="B280">
        <v>76</v>
      </c>
      <c r="C280" t="s">
        <v>942</v>
      </c>
      <c r="D280">
        <v>76.233000000000004</v>
      </c>
      <c r="E280" t="str">
        <f t="shared" si="9"/>
        <v>76233</v>
      </c>
      <c r="F280" t="s">
        <v>958</v>
      </c>
      <c r="G280" t="str">
        <f t="shared" si="8"/>
        <v>Dagua, Valle del Cauca, 76233</v>
      </c>
    </row>
    <row r="281" spans="1:7" x14ac:dyDescent="0.25">
      <c r="A281" t="s">
        <v>56</v>
      </c>
      <c r="B281">
        <v>44</v>
      </c>
      <c r="C281" t="s">
        <v>559</v>
      </c>
      <c r="D281">
        <v>44.09</v>
      </c>
      <c r="E281" t="str">
        <f t="shared" si="9"/>
        <v>4409</v>
      </c>
      <c r="F281" t="s">
        <v>562</v>
      </c>
      <c r="G281" t="str">
        <f t="shared" si="8"/>
        <v>Dibula, La Guajira, 4409</v>
      </c>
    </row>
    <row r="282" spans="1:7" x14ac:dyDescent="0.25">
      <c r="A282" t="s">
        <v>56</v>
      </c>
      <c r="B282">
        <v>44</v>
      </c>
      <c r="C282" t="s">
        <v>559</v>
      </c>
      <c r="D282">
        <v>44.097999999999999</v>
      </c>
      <c r="E282" t="str">
        <f t="shared" si="9"/>
        <v>44098</v>
      </c>
      <c r="F282" t="s">
        <v>563</v>
      </c>
      <c r="G282" t="str">
        <f t="shared" si="8"/>
        <v>Distracción, La Guajira, 44098</v>
      </c>
    </row>
    <row r="283" spans="1:7" x14ac:dyDescent="0.25">
      <c r="A283" t="s">
        <v>316</v>
      </c>
      <c r="B283">
        <v>73</v>
      </c>
      <c r="C283" t="s">
        <v>757</v>
      </c>
      <c r="D283">
        <v>73.236000000000004</v>
      </c>
      <c r="E283" t="str">
        <f t="shared" si="9"/>
        <v>73236</v>
      </c>
      <c r="F283" t="s">
        <v>768</v>
      </c>
      <c r="G283" t="str">
        <f t="shared" si="8"/>
        <v>Dolores, Tolima, 73236</v>
      </c>
    </row>
    <row r="284" spans="1:7" x14ac:dyDescent="0.25">
      <c r="A284" t="s">
        <v>5</v>
      </c>
      <c r="B284">
        <v>5</v>
      </c>
      <c r="C284" t="s">
        <v>6</v>
      </c>
      <c r="D284">
        <v>5.2370000000000001</v>
      </c>
      <c r="E284" t="str">
        <f t="shared" si="9"/>
        <v>5237</v>
      </c>
      <c r="F284" t="s">
        <v>50</v>
      </c>
      <c r="G284" t="str">
        <f t="shared" si="8"/>
        <v>Don Matías, Antioquia, 5237</v>
      </c>
    </row>
    <row r="285" spans="1:7" x14ac:dyDescent="0.25">
      <c r="A285" t="s">
        <v>5</v>
      </c>
      <c r="B285">
        <v>66</v>
      </c>
      <c r="C285" t="s">
        <v>308</v>
      </c>
      <c r="D285">
        <v>66.17</v>
      </c>
      <c r="E285" t="str">
        <f t="shared" si="9"/>
        <v>6617</v>
      </c>
      <c r="F285" t="s">
        <v>670</v>
      </c>
      <c r="G285" t="str">
        <f t="shared" si="8"/>
        <v>Dosquebradas, Risaralda, 6617</v>
      </c>
    </row>
    <row r="286" spans="1:7" x14ac:dyDescent="0.25">
      <c r="A286" t="s">
        <v>17</v>
      </c>
      <c r="B286">
        <v>15</v>
      </c>
      <c r="C286" t="s">
        <v>18</v>
      </c>
      <c r="D286">
        <v>15.238</v>
      </c>
      <c r="E286" t="str">
        <f t="shared" si="9"/>
        <v>15238</v>
      </c>
      <c r="F286" t="s">
        <v>212</v>
      </c>
      <c r="G286" t="str">
        <f t="shared" si="8"/>
        <v>Duitama, Boyacá, 15238</v>
      </c>
    </row>
    <row r="287" spans="1:7" x14ac:dyDescent="0.25">
      <c r="A287" t="s">
        <v>17</v>
      </c>
      <c r="B287">
        <v>54</v>
      </c>
      <c r="C287" t="s">
        <v>939</v>
      </c>
      <c r="D287">
        <v>54.238999999999997</v>
      </c>
      <c r="E287" t="str">
        <f t="shared" si="9"/>
        <v>54239</v>
      </c>
      <c r="F287" t="s">
        <v>997</v>
      </c>
      <c r="G287" t="str">
        <f t="shared" si="8"/>
        <v>Durania, Norte de Santander, 54239</v>
      </c>
    </row>
    <row r="288" spans="1:7" x14ac:dyDescent="0.25">
      <c r="A288" t="s">
        <v>5</v>
      </c>
      <c r="B288">
        <v>5</v>
      </c>
      <c r="C288" t="s">
        <v>6</v>
      </c>
      <c r="D288">
        <v>5.24</v>
      </c>
      <c r="E288" t="str">
        <f t="shared" si="9"/>
        <v>524</v>
      </c>
      <c r="F288" t="s">
        <v>51</v>
      </c>
      <c r="G288" t="str">
        <f t="shared" si="8"/>
        <v>Ebéjico, Antioquia, 524</v>
      </c>
    </row>
    <row r="289" spans="1:7" x14ac:dyDescent="0.25">
      <c r="A289" t="s">
        <v>62</v>
      </c>
      <c r="B289">
        <v>76</v>
      </c>
      <c r="C289" t="s">
        <v>942</v>
      </c>
      <c r="D289">
        <v>76.242999999999995</v>
      </c>
      <c r="E289" t="str">
        <f t="shared" si="9"/>
        <v>76243</v>
      </c>
      <c r="F289" t="s">
        <v>998</v>
      </c>
      <c r="G289" t="str">
        <f t="shared" si="8"/>
        <v>El Águila, Valle del Cauca, 76243</v>
      </c>
    </row>
    <row r="290" spans="1:7" x14ac:dyDescent="0.25">
      <c r="A290" t="s">
        <v>5</v>
      </c>
      <c r="B290">
        <v>5</v>
      </c>
      <c r="C290" t="s">
        <v>6</v>
      </c>
      <c r="D290">
        <v>5.25</v>
      </c>
      <c r="E290" t="str">
        <f t="shared" si="9"/>
        <v>525</v>
      </c>
      <c r="F290" t="s">
        <v>52</v>
      </c>
      <c r="G290" t="str">
        <f t="shared" si="8"/>
        <v>El Bagre, Antioquia, 525</v>
      </c>
    </row>
    <row r="291" spans="1:7" x14ac:dyDescent="0.25">
      <c r="A291" t="s">
        <v>56</v>
      </c>
      <c r="B291">
        <v>47</v>
      </c>
      <c r="C291" t="s">
        <v>570</v>
      </c>
      <c r="D291">
        <v>47.244999999999997</v>
      </c>
      <c r="E291" t="str">
        <f t="shared" si="9"/>
        <v>47245</v>
      </c>
      <c r="F291" t="s">
        <v>577</v>
      </c>
      <c r="G291" t="str">
        <f t="shared" si="8"/>
        <v>El Banco, Magdalena, 47245</v>
      </c>
    </row>
    <row r="292" spans="1:7" x14ac:dyDescent="0.25">
      <c r="A292" t="s">
        <v>62</v>
      </c>
      <c r="B292">
        <v>76</v>
      </c>
      <c r="C292" t="s">
        <v>942</v>
      </c>
      <c r="D292">
        <v>76.245999999999995</v>
      </c>
      <c r="E292" t="str">
        <f t="shared" si="9"/>
        <v>76246</v>
      </c>
      <c r="F292" t="s">
        <v>955</v>
      </c>
      <c r="G292" t="str">
        <f t="shared" si="8"/>
        <v>El Cairo, Valle del Cauca, 76246</v>
      </c>
    </row>
    <row r="293" spans="1:7" x14ac:dyDescent="0.25">
      <c r="A293" t="s">
        <v>117</v>
      </c>
      <c r="B293">
        <v>50</v>
      </c>
      <c r="C293" t="s">
        <v>118</v>
      </c>
      <c r="D293">
        <v>50.244999999999997</v>
      </c>
      <c r="E293" t="str">
        <f t="shared" si="9"/>
        <v>50245</v>
      </c>
      <c r="F293" t="s">
        <v>598</v>
      </c>
      <c r="G293" t="str">
        <f t="shared" si="8"/>
        <v>El Calvario, Meta, 50245</v>
      </c>
    </row>
    <row r="294" spans="1:7" x14ac:dyDescent="0.25">
      <c r="A294" t="s">
        <v>62</v>
      </c>
      <c r="B294">
        <v>27</v>
      </c>
      <c r="C294" t="s">
        <v>63</v>
      </c>
      <c r="D294">
        <v>27.135000000000002</v>
      </c>
      <c r="E294" t="str">
        <f t="shared" si="9"/>
        <v>27135</v>
      </c>
      <c r="F294" t="s">
        <v>865</v>
      </c>
      <c r="G294" t="str">
        <f t="shared" si="8"/>
        <v>El Cantón del San Pablo, Chocó, 27135</v>
      </c>
    </row>
    <row r="295" spans="1:7" x14ac:dyDescent="0.25">
      <c r="A295" t="s">
        <v>62</v>
      </c>
      <c r="B295">
        <v>27</v>
      </c>
      <c r="C295" t="s">
        <v>63</v>
      </c>
      <c r="D295">
        <v>27.245000000000001</v>
      </c>
      <c r="E295" t="str">
        <f t="shared" si="9"/>
        <v>27245</v>
      </c>
      <c r="F295" t="s">
        <v>895</v>
      </c>
      <c r="G295" t="str">
        <f t="shared" si="8"/>
        <v>El Carmen de Atrato, Chocó, 27245</v>
      </c>
    </row>
    <row r="296" spans="1:7" x14ac:dyDescent="0.25">
      <c r="A296" t="s">
        <v>56</v>
      </c>
      <c r="B296">
        <v>13</v>
      </c>
      <c r="C296" t="s">
        <v>154</v>
      </c>
      <c r="D296">
        <v>13.244</v>
      </c>
      <c r="E296" t="str">
        <f t="shared" si="9"/>
        <v>13244</v>
      </c>
      <c r="F296" t="s">
        <v>894</v>
      </c>
      <c r="G296" t="str">
        <f t="shared" si="8"/>
        <v>El Carmen de Bolívar, Bolívar, 13244</v>
      </c>
    </row>
    <row r="297" spans="1:7" x14ac:dyDescent="0.25">
      <c r="A297" t="s">
        <v>17</v>
      </c>
      <c r="B297">
        <v>68</v>
      </c>
      <c r="C297" t="s">
        <v>104</v>
      </c>
      <c r="D297">
        <v>68.234999999999999</v>
      </c>
      <c r="E297" t="str">
        <f t="shared" si="9"/>
        <v>68235</v>
      </c>
      <c r="F297" t="s">
        <v>924</v>
      </c>
      <c r="G297" t="str">
        <f t="shared" si="8"/>
        <v>El Carmen de Chucurí, Santander, 68235</v>
      </c>
    </row>
    <row r="298" spans="1:7" x14ac:dyDescent="0.25">
      <c r="A298" t="s">
        <v>5</v>
      </c>
      <c r="B298">
        <v>5</v>
      </c>
      <c r="C298" t="s">
        <v>6</v>
      </c>
      <c r="D298">
        <v>5.1479999999999997</v>
      </c>
      <c r="E298" t="str">
        <f t="shared" si="9"/>
        <v>5148</v>
      </c>
      <c r="F298" t="s">
        <v>925</v>
      </c>
      <c r="G298" t="str">
        <f t="shared" si="8"/>
        <v>El Carmen de Viboral, Antioquia, 5148</v>
      </c>
    </row>
    <row r="299" spans="1:7" x14ac:dyDescent="0.25">
      <c r="A299" t="s">
        <v>17</v>
      </c>
      <c r="B299">
        <v>54</v>
      </c>
      <c r="C299" t="s">
        <v>939</v>
      </c>
      <c r="D299">
        <v>54.244999999999997</v>
      </c>
      <c r="E299" t="str">
        <f t="shared" si="9"/>
        <v>54245</v>
      </c>
      <c r="F299" t="s">
        <v>1049</v>
      </c>
      <c r="G299" t="str">
        <f t="shared" si="8"/>
        <v>El Carmen, Norte de Santander, 54245</v>
      </c>
    </row>
    <row r="300" spans="1:7" x14ac:dyDescent="0.25">
      <c r="A300" t="s">
        <v>117</v>
      </c>
      <c r="B300">
        <v>50</v>
      </c>
      <c r="C300" t="s">
        <v>118</v>
      </c>
      <c r="D300">
        <v>50.250999999999998</v>
      </c>
      <c r="E300" t="str">
        <f t="shared" si="9"/>
        <v>50251</v>
      </c>
      <c r="F300" t="s">
        <v>599</v>
      </c>
      <c r="G300" t="str">
        <f t="shared" si="8"/>
        <v>El Castillo, Meta, 50251</v>
      </c>
    </row>
    <row r="301" spans="1:7" x14ac:dyDescent="0.25">
      <c r="A301" t="s">
        <v>62</v>
      </c>
      <c r="B301">
        <v>76</v>
      </c>
      <c r="C301" t="s">
        <v>942</v>
      </c>
      <c r="D301">
        <v>76.248000000000005</v>
      </c>
      <c r="E301" t="str">
        <f t="shared" si="9"/>
        <v>76248</v>
      </c>
      <c r="F301" t="s">
        <v>951</v>
      </c>
      <c r="G301" t="str">
        <f t="shared" si="8"/>
        <v>El Cerrito, Valle del Cauca, 76248</v>
      </c>
    </row>
    <row r="302" spans="1:7" x14ac:dyDescent="0.25">
      <c r="A302" t="s">
        <v>62</v>
      </c>
      <c r="B302">
        <v>52</v>
      </c>
      <c r="C302" t="s">
        <v>84</v>
      </c>
      <c r="D302">
        <v>52.25</v>
      </c>
      <c r="E302" t="str">
        <f t="shared" si="9"/>
        <v>5225</v>
      </c>
      <c r="F302" t="s">
        <v>623</v>
      </c>
      <c r="G302" t="str">
        <f t="shared" si="8"/>
        <v>El Charco, Nariño, 5225</v>
      </c>
    </row>
    <row r="303" spans="1:7" x14ac:dyDescent="0.25">
      <c r="A303" t="s">
        <v>17</v>
      </c>
      <c r="B303">
        <v>15</v>
      </c>
      <c r="C303" t="s">
        <v>18</v>
      </c>
      <c r="D303">
        <v>15.244</v>
      </c>
      <c r="E303" t="str">
        <f t="shared" si="9"/>
        <v>15244</v>
      </c>
      <c r="F303" t="s">
        <v>213</v>
      </c>
      <c r="G303" t="str">
        <f t="shared" si="8"/>
        <v>El Cocuy, Boyacá, 15244</v>
      </c>
    </row>
    <row r="304" spans="1:7" x14ac:dyDescent="0.25">
      <c r="A304" t="s">
        <v>17</v>
      </c>
      <c r="B304">
        <v>25</v>
      </c>
      <c r="C304" t="s">
        <v>409</v>
      </c>
      <c r="D304">
        <v>25.245000000000001</v>
      </c>
      <c r="E304" t="str">
        <f t="shared" si="9"/>
        <v>25245</v>
      </c>
      <c r="F304" t="s">
        <v>427</v>
      </c>
      <c r="G304" t="str">
        <f t="shared" si="8"/>
        <v>El Colegio, Cundinamarca, 25245</v>
      </c>
    </row>
    <row r="305" spans="1:7" x14ac:dyDescent="0.25">
      <c r="A305" t="s">
        <v>56</v>
      </c>
      <c r="B305">
        <v>20</v>
      </c>
      <c r="C305" t="s">
        <v>362</v>
      </c>
      <c r="D305">
        <v>20.238</v>
      </c>
      <c r="E305" t="str">
        <f t="shared" si="9"/>
        <v>20238</v>
      </c>
      <c r="F305" t="s">
        <v>372</v>
      </c>
      <c r="G305" t="str">
        <f t="shared" si="8"/>
        <v>El Copey, Cesar, 20238</v>
      </c>
    </row>
    <row r="306" spans="1:7" x14ac:dyDescent="0.25">
      <c r="A306" t="s">
        <v>316</v>
      </c>
      <c r="B306">
        <v>18</v>
      </c>
      <c r="C306" t="s">
        <v>317</v>
      </c>
      <c r="D306">
        <v>18.247</v>
      </c>
      <c r="E306" t="str">
        <f t="shared" si="9"/>
        <v>18247</v>
      </c>
      <c r="F306" t="s">
        <v>321</v>
      </c>
      <c r="G306" t="str">
        <f t="shared" si="8"/>
        <v>El Doncello, Caquetá, 18247</v>
      </c>
    </row>
    <row r="307" spans="1:7" x14ac:dyDescent="0.25">
      <c r="A307" t="s">
        <v>117</v>
      </c>
      <c r="B307">
        <v>50</v>
      </c>
      <c r="C307" t="s">
        <v>118</v>
      </c>
      <c r="D307">
        <v>50.27</v>
      </c>
      <c r="E307" t="str">
        <f t="shared" si="9"/>
        <v>5027</v>
      </c>
      <c r="F307" t="s">
        <v>600</v>
      </c>
      <c r="G307" t="str">
        <f t="shared" si="8"/>
        <v>El Dorado, Meta, 5027</v>
      </c>
    </row>
    <row r="308" spans="1:7" x14ac:dyDescent="0.25">
      <c r="A308" t="s">
        <v>62</v>
      </c>
      <c r="B308">
        <v>76</v>
      </c>
      <c r="C308" t="s">
        <v>942</v>
      </c>
      <c r="D308">
        <v>76.25</v>
      </c>
      <c r="E308" t="str">
        <f t="shared" si="9"/>
        <v>7625</v>
      </c>
      <c r="F308" t="s">
        <v>943</v>
      </c>
      <c r="G308" t="str">
        <f t="shared" si="8"/>
        <v>El Dovio, Valle del Cauca, 7625</v>
      </c>
    </row>
    <row r="309" spans="1:7" x14ac:dyDescent="0.25">
      <c r="A309" t="s">
        <v>316</v>
      </c>
      <c r="B309">
        <v>91</v>
      </c>
      <c r="C309" t="s">
        <v>822</v>
      </c>
      <c r="D309">
        <v>91.263000000000005</v>
      </c>
      <c r="E309" t="str">
        <f t="shared" si="9"/>
        <v>91263</v>
      </c>
      <c r="F309" t="s">
        <v>824</v>
      </c>
      <c r="G309" t="str">
        <f t="shared" si="8"/>
        <v>El Encanto, Amazonas, 91263</v>
      </c>
    </row>
    <row r="310" spans="1:7" x14ac:dyDescent="0.25">
      <c r="A310" t="s">
        <v>17</v>
      </c>
      <c r="B310">
        <v>15</v>
      </c>
      <c r="C310" t="s">
        <v>18</v>
      </c>
      <c r="D310">
        <v>15.247999999999999</v>
      </c>
      <c r="E310" t="str">
        <f t="shared" si="9"/>
        <v>15248</v>
      </c>
      <c r="F310" t="s">
        <v>214</v>
      </c>
      <c r="G310" t="str">
        <f t="shared" si="8"/>
        <v>El Espino, Boyacá, 15248</v>
      </c>
    </row>
    <row r="311" spans="1:7" x14ac:dyDescent="0.25">
      <c r="A311" t="s">
        <v>17</v>
      </c>
      <c r="B311">
        <v>68</v>
      </c>
      <c r="C311" t="s">
        <v>104</v>
      </c>
      <c r="D311">
        <v>68.245000000000005</v>
      </c>
      <c r="E311" t="str">
        <f t="shared" si="9"/>
        <v>68245</v>
      </c>
      <c r="F311" t="s">
        <v>696</v>
      </c>
      <c r="G311" t="str">
        <f t="shared" si="8"/>
        <v>El Guacamayo, Santander, 68245</v>
      </c>
    </row>
    <row r="312" spans="1:7" x14ac:dyDescent="0.25">
      <c r="A312" t="s">
        <v>56</v>
      </c>
      <c r="B312">
        <v>13</v>
      </c>
      <c r="C312" t="s">
        <v>154</v>
      </c>
      <c r="D312">
        <v>13.247999999999999</v>
      </c>
      <c r="E312" t="str">
        <f t="shared" si="9"/>
        <v>13248</v>
      </c>
      <c r="F312" t="s">
        <v>163</v>
      </c>
      <c r="G312" t="str">
        <f t="shared" si="8"/>
        <v>El Guamo, Bolívar, 13248</v>
      </c>
    </row>
    <row r="313" spans="1:7" x14ac:dyDescent="0.25">
      <c r="A313" t="s">
        <v>62</v>
      </c>
      <c r="B313">
        <v>27</v>
      </c>
      <c r="C313" t="s">
        <v>63</v>
      </c>
      <c r="D313">
        <v>27.25</v>
      </c>
      <c r="E313" t="str">
        <f t="shared" si="9"/>
        <v>2725</v>
      </c>
      <c r="F313" t="s">
        <v>860</v>
      </c>
      <c r="G313" t="str">
        <f t="shared" si="8"/>
        <v>El Litoral del San Juan, Chocó, 2725</v>
      </c>
    </row>
    <row r="314" spans="1:7" x14ac:dyDescent="0.25">
      <c r="A314" t="s">
        <v>56</v>
      </c>
      <c r="B314">
        <v>44</v>
      </c>
      <c r="C314" t="s">
        <v>559</v>
      </c>
      <c r="D314">
        <v>44.11</v>
      </c>
      <c r="E314" t="str">
        <f t="shared" si="9"/>
        <v>4411</v>
      </c>
      <c r="F314" t="s">
        <v>564</v>
      </c>
      <c r="G314" t="str">
        <f t="shared" si="8"/>
        <v>El Molino, La Guajira, 4411</v>
      </c>
    </row>
    <row r="315" spans="1:7" x14ac:dyDescent="0.25">
      <c r="A315" t="s">
        <v>56</v>
      </c>
      <c r="B315">
        <v>20</v>
      </c>
      <c r="C315" t="s">
        <v>362</v>
      </c>
      <c r="D315">
        <v>20.25</v>
      </c>
      <c r="E315" t="str">
        <f t="shared" si="9"/>
        <v>2025</v>
      </c>
      <c r="F315" t="s">
        <v>373</v>
      </c>
      <c r="G315" t="str">
        <f t="shared" si="8"/>
        <v>El Paso, Cesar, 2025</v>
      </c>
    </row>
    <row r="316" spans="1:7" x14ac:dyDescent="0.25">
      <c r="A316" t="s">
        <v>316</v>
      </c>
      <c r="B316">
        <v>18</v>
      </c>
      <c r="C316" t="s">
        <v>317</v>
      </c>
      <c r="D316">
        <v>18.256</v>
      </c>
      <c r="E316" t="str">
        <f t="shared" si="9"/>
        <v>18256</v>
      </c>
      <c r="F316" t="s">
        <v>322</v>
      </c>
      <c r="G316" t="str">
        <f t="shared" si="8"/>
        <v>El Paujil, Caquetá, 18256</v>
      </c>
    </row>
    <row r="317" spans="1:7" x14ac:dyDescent="0.25">
      <c r="A317" t="s">
        <v>62</v>
      </c>
      <c r="B317">
        <v>52</v>
      </c>
      <c r="C317" t="s">
        <v>84</v>
      </c>
      <c r="D317">
        <v>52.253999999999998</v>
      </c>
      <c r="E317" t="str">
        <f t="shared" si="9"/>
        <v>52254</v>
      </c>
      <c r="F317" t="s">
        <v>624</v>
      </c>
      <c r="G317" t="str">
        <f t="shared" si="8"/>
        <v>El Peñol, Nariño, 52254</v>
      </c>
    </row>
    <row r="318" spans="1:7" x14ac:dyDescent="0.25">
      <c r="A318" t="s">
        <v>56</v>
      </c>
      <c r="B318">
        <v>13</v>
      </c>
      <c r="C318" t="s">
        <v>154</v>
      </c>
      <c r="D318">
        <v>13.268000000000001</v>
      </c>
      <c r="E318" t="str">
        <f t="shared" si="9"/>
        <v>13268</v>
      </c>
      <c r="F318" t="s">
        <v>1012</v>
      </c>
      <c r="G318" t="str">
        <f t="shared" si="8"/>
        <v>El Peñón, Bolívar, 13268</v>
      </c>
    </row>
    <row r="319" spans="1:7" x14ac:dyDescent="0.25">
      <c r="A319" t="s">
        <v>17</v>
      </c>
      <c r="B319">
        <v>25</v>
      </c>
      <c r="C319" t="s">
        <v>409</v>
      </c>
      <c r="D319">
        <v>25.257999999999999</v>
      </c>
      <c r="E319" t="str">
        <f t="shared" si="9"/>
        <v>25258</v>
      </c>
      <c r="F319" t="s">
        <v>1012</v>
      </c>
      <c r="G319" t="str">
        <f t="shared" si="8"/>
        <v>El Peñón, Cundinamarca, 25258</v>
      </c>
    </row>
    <row r="320" spans="1:7" x14ac:dyDescent="0.25">
      <c r="A320" t="s">
        <v>17</v>
      </c>
      <c r="B320">
        <v>68</v>
      </c>
      <c r="C320" t="s">
        <v>104</v>
      </c>
      <c r="D320">
        <v>68.25</v>
      </c>
      <c r="E320" t="str">
        <f t="shared" si="9"/>
        <v>6825</v>
      </c>
      <c r="F320" t="s">
        <v>1012</v>
      </c>
      <c r="G320" t="str">
        <f t="shared" si="8"/>
        <v>El Peñón, Santander, 6825</v>
      </c>
    </row>
    <row r="321" spans="1:7" x14ac:dyDescent="0.25">
      <c r="A321" t="s">
        <v>56</v>
      </c>
      <c r="B321">
        <v>47</v>
      </c>
      <c r="C321" t="s">
        <v>570</v>
      </c>
      <c r="D321">
        <v>47.258000000000003</v>
      </c>
      <c r="E321" t="str">
        <f t="shared" si="9"/>
        <v>47258</v>
      </c>
      <c r="F321" t="s">
        <v>578</v>
      </c>
      <c r="G321" t="str">
        <f t="shared" si="8"/>
        <v>El Piñon, Magdalena, 47258</v>
      </c>
    </row>
    <row r="322" spans="1:7" x14ac:dyDescent="0.25">
      <c r="A322" t="s">
        <v>17</v>
      </c>
      <c r="B322">
        <v>68</v>
      </c>
      <c r="C322" t="s">
        <v>104</v>
      </c>
      <c r="D322">
        <v>68.254999999999995</v>
      </c>
      <c r="E322" t="str">
        <f t="shared" si="9"/>
        <v>68255</v>
      </c>
      <c r="F322" t="s">
        <v>697</v>
      </c>
      <c r="G322" t="str">
        <f t="shared" ref="G322:G385" si="10">_xlfn.CONCAT(F322,", ",C322,", ",E322)</f>
        <v>El Playón, Santander, 68255</v>
      </c>
    </row>
    <row r="323" spans="1:7" x14ac:dyDescent="0.25">
      <c r="A323" t="s">
        <v>56</v>
      </c>
      <c r="B323">
        <v>47</v>
      </c>
      <c r="C323" t="s">
        <v>570</v>
      </c>
      <c r="D323">
        <v>47.268000000000001</v>
      </c>
      <c r="E323" t="str">
        <f t="shared" ref="E323:E386" si="11">SUBSTITUTE(D323, ".", "",1)</f>
        <v>47268</v>
      </c>
      <c r="F323" t="s">
        <v>579</v>
      </c>
      <c r="G323" t="str">
        <f t="shared" si="10"/>
        <v>El Retén, Magdalena, 47268</v>
      </c>
    </row>
    <row r="324" spans="1:7" x14ac:dyDescent="0.25">
      <c r="A324" t="s">
        <v>117</v>
      </c>
      <c r="B324">
        <v>95</v>
      </c>
      <c r="C324" t="s">
        <v>871</v>
      </c>
      <c r="D324">
        <v>95.025000000000006</v>
      </c>
      <c r="E324" t="str">
        <f t="shared" si="11"/>
        <v>95025</v>
      </c>
      <c r="F324" t="s">
        <v>904</v>
      </c>
      <c r="G324" t="str">
        <f t="shared" si="10"/>
        <v>El Retorno, Guaviare, 95025</v>
      </c>
    </row>
    <row r="325" spans="1:7" x14ac:dyDescent="0.25">
      <c r="A325" t="s">
        <v>56</v>
      </c>
      <c r="B325">
        <v>70</v>
      </c>
      <c r="C325" t="s">
        <v>356</v>
      </c>
      <c r="D325">
        <v>70.233000000000004</v>
      </c>
      <c r="E325" t="str">
        <f t="shared" si="11"/>
        <v>70233</v>
      </c>
      <c r="F325" t="s">
        <v>745</v>
      </c>
      <c r="G325" t="str">
        <f t="shared" si="10"/>
        <v>El Roble, Sucre, 70233</v>
      </c>
    </row>
    <row r="326" spans="1:7" x14ac:dyDescent="0.25">
      <c r="A326" t="s">
        <v>17</v>
      </c>
      <c r="B326">
        <v>25</v>
      </c>
      <c r="C326" t="s">
        <v>409</v>
      </c>
      <c r="D326">
        <v>25.26</v>
      </c>
      <c r="E326" t="str">
        <f t="shared" si="11"/>
        <v>2526</v>
      </c>
      <c r="F326" t="s">
        <v>428</v>
      </c>
      <c r="G326" t="str">
        <f t="shared" si="10"/>
        <v>El Rosal, Cundinamarca, 2526</v>
      </c>
    </row>
    <row r="327" spans="1:7" x14ac:dyDescent="0.25">
      <c r="A327" t="s">
        <v>62</v>
      </c>
      <c r="B327">
        <v>52</v>
      </c>
      <c r="C327" t="s">
        <v>84</v>
      </c>
      <c r="D327">
        <v>52.256</v>
      </c>
      <c r="E327" t="str">
        <f t="shared" si="11"/>
        <v>52256</v>
      </c>
      <c r="F327" t="s">
        <v>625</v>
      </c>
      <c r="G327" t="str">
        <f t="shared" si="10"/>
        <v>El Rosario, Nariño, 52256</v>
      </c>
    </row>
    <row r="328" spans="1:7" x14ac:dyDescent="0.25">
      <c r="A328" t="s">
        <v>5</v>
      </c>
      <c r="B328">
        <v>5</v>
      </c>
      <c r="C328" t="s">
        <v>6</v>
      </c>
      <c r="D328">
        <v>5.6970000000000001</v>
      </c>
      <c r="E328" t="str">
        <f t="shared" si="11"/>
        <v>5697</v>
      </c>
      <c r="F328" t="s">
        <v>114</v>
      </c>
      <c r="G328" t="str">
        <f t="shared" si="10"/>
        <v>El Santuario, Antioquia, 5697</v>
      </c>
    </row>
    <row r="329" spans="1:7" x14ac:dyDescent="0.25">
      <c r="A329" t="s">
        <v>62</v>
      </c>
      <c r="B329">
        <v>52</v>
      </c>
      <c r="C329" t="s">
        <v>84</v>
      </c>
      <c r="D329">
        <v>52.258000000000003</v>
      </c>
      <c r="E329" t="str">
        <f t="shared" si="11"/>
        <v>52258</v>
      </c>
      <c r="F329" t="s">
        <v>915</v>
      </c>
      <c r="G329" t="str">
        <f t="shared" si="10"/>
        <v>El Tablón de Gómez, Nariño, 52258</v>
      </c>
    </row>
    <row r="330" spans="1:7" x14ac:dyDescent="0.25">
      <c r="A330" t="s">
        <v>62</v>
      </c>
      <c r="B330">
        <v>19</v>
      </c>
      <c r="C330" t="s">
        <v>327</v>
      </c>
      <c r="D330">
        <v>19.256</v>
      </c>
      <c r="E330" t="str">
        <f t="shared" si="11"/>
        <v>19256</v>
      </c>
      <c r="F330" t="s">
        <v>336</v>
      </c>
      <c r="G330" t="str">
        <f t="shared" si="10"/>
        <v>El Tambo, Cauca, 19256</v>
      </c>
    </row>
    <row r="331" spans="1:7" x14ac:dyDescent="0.25">
      <c r="A331" t="s">
        <v>62</v>
      </c>
      <c r="B331">
        <v>52</v>
      </c>
      <c r="C331" t="s">
        <v>84</v>
      </c>
      <c r="D331">
        <v>52.26</v>
      </c>
      <c r="E331" t="str">
        <f t="shared" si="11"/>
        <v>5226</v>
      </c>
      <c r="F331" t="s">
        <v>336</v>
      </c>
      <c r="G331" t="str">
        <f t="shared" si="10"/>
        <v>El Tambo, Nariño, 5226</v>
      </c>
    </row>
    <row r="332" spans="1:7" x14ac:dyDescent="0.25">
      <c r="A332" t="s">
        <v>17</v>
      </c>
      <c r="B332">
        <v>54</v>
      </c>
      <c r="C332" t="s">
        <v>939</v>
      </c>
      <c r="D332">
        <v>54.25</v>
      </c>
      <c r="E332" t="str">
        <f t="shared" si="11"/>
        <v>5425</v>
      </c>
      <c r="F332" t="s">
        <v>956</v>
      </c>
      <c r="G332" t="str">
        <f t="shared" si="10"/>
        <v>El Tarra, Norte de Santander, 5425</v>
      </c>
    </row>
    <row r="333" spans="1:7" x14ac:dyDescent="0.25">
      <c r="A333" t="s">
        <v>17</v>
      </c>
      <c r="B333">
        <v>54</v>
      </c>
      <c r="C333" t="s">
        <v>939</v>
      </c>
      <c r="D333">
        <v>54.261000000000003</v>
      </c>
      <c r="E333" t="str">
        <f t="shared" si="11"/>
        <v>54261</v>
      </c>
      <c r="F333" t="s">
        <v>946</v>
      </c>
      <c r="G333" t="str">
        <f t="shared" si="10"/>
        <v>El Zulia, Norte de Santander, 54261</v>
      </c>
    </row>
    <row r="334" spans="1:7" x14ac:dyDescent="0.25">
      <c r="A334" t="s">
        <v>316</v>
      </c>
      <c r="B334">
        <v>41</v>
      </c>
      <c r="C334" t="s">
        <v>525</v>
      </c>
      <c r="D334">
        <v>41.244</v>
      </c>
      <c r="E334" t="str">
        <f t="shared" si="11"/>
        <v>41244</v>
      </c>
      <c r="F334" t="s">
        <v>535</v>
      </c>
      <c r="G334" t="str">
        <f t="shared" si="10"/>
        <v>Elías, Huila, 41244</v>
      </c>
    </row>
    <row r="335" spans="1:7" x14ac:dyDescent="0.25">
      <c r="A335" t="s">
        <v>17</v>
      </c>
      <c r="B335">
        <v>68</v>
      </c>
      <c r="C335" t="s">
        <v>104</v>
      </c>
      <c r="D335">
        <v>68.263999999999996</v>
      </c>
      <c r="E335" t="str">
        <f t="shared" si="11"/>
        <v>68264</v>
      </c>
      <c r="F335" t="s">
        <v>698</v>
      </c>
      <c r="G335" t="str">
        <f t="shared" si="10"/>
        <v>Encino, Santander, 68264</v>
      </c>
    </row>
    <row r="336" spans="1:7" x14ac:dyDescent="0.25">
      <c r="A336" t="s">
        <v>17</v>
      </c>
      <c r="B336">
        <v>68</v>
      </c>
      <c r="C336" t="s">
        <v>104</v>
      </c>
      <c r="D336">
        <v>68.266000000000005</v>
      </c>
      <c r="E336" t="str">
        <f t="shared" si="11"/>
        <v>68266</v>
      </c>
      <c r="F336" t="s">
        <v>699</v>
      </c>
      <c r="G336" t="str">
        <f t="shared" si="10"/>
        <v>Enciso, Santander, 68266</v>
      </c>
    </row>
    <row r="337" spans="1:7" x14ac:dyDescent="0.25">
      <c r="A337" t="s">
        <v>5</v>
      </c>
      <c r="B337">
        <v>5</v>
      </c>
      <c r="C337" t="s">
        <v>6</v>
      </c>
      <c r="D337">
        <v>5.2640000000000002</v>
      </c>
      <c r="E337" t="str">
        <f t="shared" si="11"/>
        <v>5264</v>
      </c>
      <c r="F337" t="s">
        <v>53</v>
      </c>
      <c r="G337" t="str">
        <f t="shared" si="10"/>
        <v>Entrerrios, Antioquia, 5264</v>
      </c>
    </row>
    <row r="338" spans="1:7" x14ac:dyDescent="0.25">
      <c r="A338" t="s">
        <v>5</v>
      </c>
      <c r="B338">
        <v>5</v>
      </c>
      <c r="C338" t="s">
        <v>6</v>
      </c>
      <c r="D338">
        <v>5.266</v>
      </c>
      <c r="E338" t="str">
        <f t="shared" si="11"/>
        <v>5266</v>
      </c>
      <c r="F338" t="s">
        <v>54</v>
      </c>
      <c r="G338" t="str">
        <f t="shared" si="10"/>
        <v>Envigado, Antioquia, 5266</v>
      </c>
    </row>
    <row r="339" spans="1:7" x14ac:dyDescent="0.25">
      <c r="A339" t="s">
        <v>316</v>
      </c>
      <c r="B339">
        <v>73</v>
      </c>
      <c r="C339" t="s">
        <v>757</v>
      </c>
      <c r="D339">
        <v>73.268000000000001</v>
      </c>
      <c r="E339" t="str">
        <f t="shared" si="11"/>
        <v>73268</v>
      </c>
      <c r="F339" t="s">
        <v>769</v>
      </c>
      <c r="G339" t="str">
        <f t="shared" si="10"/>
        <v>Espinal, Tolima, 73268</v>
      </c>
    </row>
    <row r="340" spans="1:7" x14ac:dyDescent="0.25">
      <c r="A340" t="s">
        <v>17</v>
      </c>
      <c r="B340">
        <v>25</v>
      </c>
      <c r="C340" t="s">
        <v>409</v>
      </c>
      <c r="D340">
        <v>25.268999999999998</v>
      </c>
      <c r="E340" t="str">
        <f t="shared" si="11"/>
        <v>25269</v>
      </c>
      <c r="F340" t="s">
        <v>1062</v>
      </c>
      <c r="G340" t="str">
        <f t="shared" si="10"/>
        <v>Facatativá, Cundinamarca, 25269</v>
      </c>
    </row>
    <row r="341" spans="1:7" x14ac:dyDescent="0.25">
      <c r="A341" t="s">
        <v>316</v>
      </c>
      <c r="B341">
        <v>73</v>
      </c>
      <c r="C341" t="s">
        <v>757</v>
      </c>
      <c r="D341">
        <v>73.27</v>
      </c>
      <c r="E341" t="str">
        <f t="shared" si="11"/>
        <v>7327</v>
      </c>
      <c r="F341" t="s">
        <v>770</v>
      </c>
      <c r="G341" t="str">
        <f t="shared" si="10"/>
        <v>Falan, Tolima, 7327</v>
      </c>
    </row>
    <row r="342" spans="1:7" x14ac:dyDescent="0.25">
      <c r="A342" t="s">
        <v>5</v>
      </c>
      <c r="B342">
        <v>17</v>
      </c>
      <c r="C342" t="s">
        <v>34</v>
      </c>
      <c r="D342">
        <v>17.271999999999998</v>
      </c>
      <c r="E342" t="str">
        <f t="shared" si="11"/>
        <v>17272</v>
      </c>
      <c r="F342" t="s">
        <v>296</v>
      </c>
      <c r="G342" t="str">
        <f t="shared" si="10"/>
        <v>Filadelfia, Caldas, 17272</v>
      </c>
    </row>
    <row r="343" spans="1:7" x14ac:dyDescent="0.25">
      <c r="A343" t="s">
        <v>5</v>
      </c>
      <c r="B343">
        <v>63</v>
      </c>
      <c r="C343" t="s">
        <v>660</v>
      </c>
      <c r="D343">
        <v>63.271999999999998</v>
      </c>
      <c r="E343" t="str">
        <f t="shared" si="11"/>
        <v>63272</v>
      </c>
      <c r="F343" t="s">
        <v>662</v>
      </c>
      <c r="G343" t="str">
        <f t="shared" si="10"/>
        <v>Filandia, Quindío, 63272</v>
      </c>
    </row>
    <row r="344" spans="1:7" x14ac:dyDescent="0.25">
      <c r="A344" t="s">
        <v>17</v>
      </c>
      <c r="B344">
        <v>15</v>
      </c>
      <c r="C344" t="s">
        <v>18</v>
      </c>
      <c r="D344">
        <v>15.272</v>
      </c>
      <c r="E344" t="str">
        <f t="shared" si="11"/>
        <v>15272</v>
      </c>
      <c r="F344" t="s">
        <v>215</v>
      </c>
      <c r="G344" t="str">
        <f t="shared" si="10"/>
        <v>Firavitoba, Boyacá, 15272</v>
      </c>
    </row>
    <row r="345" spans="1:7" x14ac:dyDescent="0.25">
      <c r="A345" t="s">
        <v>316</v>
      </c>
      <c r="B345">
        <v>73</v>
      </c>
      <c r="C345" t="s">
        <v>757</v>
      </c>
      <c r="D345">
        <v>73.275000000000006</v>
      </c>
      <c r="E345" t="str">
        <f t="shared" si="11"/>
        <v>73275</v>
      </c>
      <c r="F345" t="s">
        <v>771</v>
      </c>
      <c r="G345" t="str">
        <f t="shared" si="10"/>
        <v>Flandes, Tolima, 73275</v>
      </c>
    </row>
    <row r="346" spans="1:7" x14ac:dyDescent="0.25">
      <c r="A346" t="s">
        <v>316</v>
      </c>
      <c r="B346">
        <v>18</v>
      </c>
      <c r="C346" t="s">
        <v>317</v>
      </c>
      <c r="D346">
        <v>18.001000000000001</v>
      </c>
      <c r="E346" t="str">
        <f t="shared" si="11"/>
        <v>18001</v>
      </c>
      <c r="F346" t="s">
        <v>318</v>
      </c>
      <c r="G346" t="str">
        <f t="shared" si="10"/>
        <v>Florencia, Caquetá, 18001</v>
      </c>
    </row>
    <row r="347" spans="1:7" x14ac:dyDescent="0.25">
      <c r="A347" t="s">
        <v>62</v>
      </c>
      <c r="B347">
        <v>19</v>
      </c>
      <c r="C347" t="s">
        <v>327</v>
      </c>
      <c r="D347">
        <v>19.29</v>
      </c>
      <c r="E347" t="str">
        <f t="shared" si="11"/>
        <v>1929</v>
      </c>
      <c r="F347" t="s">
        <v>318</v>
      </c>
      <c r="G347" t="str">
        <f t="shared" si="10"/>
        <v>Florencia, Cauca, 1929</v>
      </c>
    </row>
    <row r="348" spans="1:7" x14ac:dyDescent="0.25">
      <c r="A348" t="s">
        <v>17</v>
      </c>
      <c r="B348">
        <v>15</v>
      </c>
      <c r="C348" t="s">
        <v>18</v>
      </c>
      <c r="D348">
        <v>15.276</v>
      </c>
      <c r="E348" t="str">
        <f t="shared" si="11"/>
        <v>15276</v>
      </c>
      <c r="F348" t="s">
        <v>216</v>
      </c>
      <c r="G348" t="str">
        <f t="shared" si="10"/>
        <v>Floresta, Boyacá, 15276</v>
      </c>
    </row>
    <row r="349" spans="1:7" x14ac:dyDescent="0.25">
      <c r="A349" t="s">
        <v>17</v>
      </c>
      <c r="B349">
        <v>68</v>
      </c>
      <c r="C349" t="s">
        <v>104</v>
      </c>
      <c r="D349">
        <v>68.271000000000001</v>
      </c>
      <c r="E349" t="str">
        <f t="shared" si="11"/>
        <v>68271</v>
      </c>
      <c r="F349" t="s">
        <v>700</v>
      </c>
      <c r="G349" t="str">
        <f t="shared" si="10"/>
        <v>Florián, Santander, 68271</v>
      </c>
    </row>
    <row r="350" spans="1:7" x14ac:dyDescent="0.25">
      <c r="A350" t="s">
        <v>62</v>
      </c>
      <c r="B350">
        <v>76</v>
      </c>
      <c r="C350" t="s">
        <v>942</v>
      </c>
      <c r="D350">
        <v>76.275000000000006</v>
      </c>
      <c r="E350" t="str">
        <f t="shared" si="11"/>
        <v>76275</v>
      </c>
      <c r="F350" t="s">
        <v>1021</v>
      </c>
      <c r="G350" t="str">
        <f t="shared" si="10"/>
        <v>Florida, Valle del Cauca, 76275</v>
      </c>
    </row>
    <row r="351" spans="1:7" x14ac:dyDescent="0.25">
      <c r="A351" t="s">
        <v>17</v>
      </c>
      <c r="B351">
        <v>68</v>
      </c>
      <c r="C351" t="s">
        <v>104</v>
      </c>
      <c r="D351">
        <v>68.275999999999996</v>
      </c>
      <c r="E351" t="str">
        <f t="shared" si="11"/>
        <v>68276</v>
      </c>
      <c r="F351" t="s">
        <v>701</v>
      </c>
      <c r="G351" t="str">
        <f t="shared" si="10"/>
        <v>Floridablanca, Santander, 68276</v>
      </c>
    </row>
    <row r="352" spans="1:7" x14ac:dyDescent="0.25">
      <c r="A352" t="s">
        <v>17</v>
      </c>
      <c r="B352">
        <v>25</v>
      </c>
      <c r="C352" t="s">
        <v>409</v>
      </c>
      <c r="D352">
        <v>25.279</v>
      </c>
      <c r="E352" t="str">
        <f t="shared" si="11"/>
        <v>25279</v>
      </c>
      <c r="F352" t="s">
        <v>429</v>
      </c>
      <c r="G352" t="str">
        <f t="shared" si="10"/>
        <v>Fomeque, Cundinamarca, 25279</v>
      </c>
    </row>
    <row r="353" spans="1:7" x14ac:dyDescent="0.25">
      <c r="A353" t="s">
        <v>56</v>
      </c>
      <c r="B353">
        <v>44</v>
      </c>
      <c r="C353" t="s">
        <v>559</v>
      </c>
      <c r="D353">
        <v>44.279000000000003</v>
      </c>
      <c r="E353" t="str">
        <f t="shared" si="11"/>
        <v>44279</v>
      </c>
      <c r="F353" t="s">
        <v>565</v>
      </c>
      <c r="G353" t="str">
        <f t="shared" si="10"/>
        <v>Fonseca, La Guajira, 44279</v>
      </c>
    </row>
    <row r="354" spans="1:7" x14ac:dyDescent="0.25">
      <c r="A354" t="s">
        <v>117</v>
      </c>
      <c r="B354">
        <v>81</v>
      </c>
      <c r="C354" t="s">
        <v>795</v>
      </c>
      <c r="D354">
        <v>81.3</v>
      </c>
      <c r="E354" t="str">
        <f t="shared" si="11"/>
        <v>813</v>
      </c>
      <c r="F354" t="s">
        <v>798</v>
      </c>
      <c r="G354" t="str">
        <f t="shared" si="10"/>
        <v>Fortul, Arauca, 813</v>
      </c>
    </row>
    <row r="355" spans="1:7" x14ac:dyDescent="0.25">
      <c r="A355" t="s">
        <v>17</v>
      </c>
      <c r="B355">
        <v>25</v>
      </c>
      <c r="C355" t="s">
        <v>409</v>
      </c>
      <c r="D355">
        <v>25.280999999999999</v>
      </c>
      <c r="E355" t="str">
        <f t="shared" si="11"/>
        <v>25281</v>
      </c>
      <c r="F355" t="s">
        <v>430</v>
      </c>
      <c r="G355" t="str">
        <f t="shared" si="10"/>
        <v>Fosca, Cundinamarca, 25281</v>
      </c>
    </row>
    <row r="356" spans="1:7" x14ac:dyDescent="0.25">
      <c r="A356" t="s">
        <v>62</v>
      </c>
      <c r="B356">
        <v>52</v>
      </c>
      <c r="C356" t="s">
        <v>84</v>
      </c>
      <c r="D356">
        <v>52.52</v>
      </c>
      <c r="E356" t="str">
        <f t="shared" si="11"/>
        <v>5252</v>
      </c>
      <c r="F356" t="s">
        <v>644</v>
      </c>
      <c r="G356" t="str">
        <f t="shared" si="10"/>
        <v>Francisco Pizarro, Nariño, 5252</v>
      </c>
    </row>
    <row r="357" spans="1:7" x14ac:dyDescent="0.25">
      <c r="A357" t="s">
        <v>5</v>
      </c>
      <c r="B357">
        <v>5</v>
      </c>
      <c r="C357" t="s">
        <v>6</v>
      </c>
      <c r="D357">
        <v>5.282</v>
      </c>
      <c r="E357" t="str">
        <f t="shared" si="11"/>
        <v>5282</v>
      </c>
      <c r="F357" t="s">
        <v>55</v>
      </c>
      <c r="G357" t="str">
        <f t="shared" si="10"/>
        <v>Fredonia, Antioquia, 5282</v>
      </c>
    </row>
    <row r="358" spans="1:7" x14ac:dyDescent="0.25">
      <c r="A358" t="s">
        <v>316</v>
      </c>
      <c r="B358">
        <v>73</v>
      </c>
      <c r="C358" t="s">
        <v>757</v>
      </c>
      <c r="D358">
        <v>73.283000000000001</v>
      </c>
      <c r="E358" t="str">
        <f t="shared" si="11"/>
        <v>73283</v>
      </c>
      <c r="F358" t="s">
        <v>772</v>
      </c>
      <c r="G358" t="str">
        <f t="shared" si="10"/>
        <v>Fresno, Tolima, 73283</v>
      </c>
    </row>
    <row r="359" spans="1:7" x14ac:dyDescent="0.25">
      <c r="A359" t="s">
        <v>5</v>
      </c>
      <c r="B359">
        <v>5</v>
      </c>
      <c r="C359" t="s">
        <v>6</v>
      </c>
      <c r="D359">
        <v>5.2839999999999998</v>
      </c>
      <c r="E359" t="str">
        <f t="shared" si="11"/>
        <v>5284</v>
      </c>
      <c r="F359" t="s">
        <v>1023</v>
      </c>
      <c r="G359" t="str">
        <f t="shared" si="10"/>
        <v>Frontino, Antioquia, 5284</v>
      </c>
    </row>
    <row r="360" spans="1:7" x14ac:dyDescent="0.25">
      <c r="A360" t="s">
        <v>117</v>
      </c>
      <c r="B360">
        <v>50</v>
      </c>
      <c r="C360" t="s">
        <v>118</v>
      </c>
      <c r="D360">
        <v>50.286999999999999</v>
      </c>
      <c r="E360" t="str">
        <f t="shared" si="11"/>
        <v>50287</v>
      </c>
      <c r="F360" t="s">
        <v>858</v>
      </c>
      <c r="G360" t="str">
        <f t="shared" si="10"/>
        <v>Fuente de Oro, Meta, 50287</v>
      </c>
    </row>
    <row r="361" spans="1:7" x14ac:dyDescent="0.25">
      <c r="A361" t="s">
        <v>56</v>
      </c>
      <c r="B361">
        <v>47</v>
      </c>
      <c r="C361" t="s">
        <v>570</v>
      </c>
      <c r="D361">
        <v>47.287999999999997</v>
      </c>
      <c r="E361" t="str">
        <f t="shared" si="11"/>
        <v>47288</v>
      </c>
      <c r="F361" t="s">
        <v>580</v>
      </c>
      <c r="G361" t="str">
        <f t="shared" si="10"/>
        <v>Fundación, Magdalena, 47288</v>
      </c>
    </row>
    <row r="362" spans="1:7" x14ac:dyDescent="0.25">
      <c r="A362" t="s">
        <v>62</v>
      </c>
      <c r="B362">
        <v>52</v>
      </c>
      <c r="C362" t="s">
        <v>84</v>
      </c>
      <c r="D362">
        <v>52.286999999999999</v>
      </c>
      <c r="E362" t="str">
        <f t="shared" si="11"/>
        <v>52287</v>
      </c>
      <c r="F362" t="s">
        <v>626</v>
      </c>
      <c r="G362" t="str">
        <f t="shared" si="10"/>
        <v>Funes, Nariño, 52287</v>
      </c>
    </row>
    <row r="363" spans="1:7" x14ac:dyDescent="0.25">
      <c r="A363" t="s">
        <v>17</v>
      </c>
      <c r="B363">
        <v>25</v>
      </c>
      <c r="C363" t="s">
        <v>409</v>
      </c>
      <c r="D363">
        <v>25.286000000000001</v>
      </c>
      <c r="E363" t="str">
        <f t="shared" si="11"/>
        <v>25286</v>
      </c>
      <c r="F363" t="s">
        <v>431</v>
      </c>
      <c r="G363" t="str">
        <f t="shared" si="10"/>
        <v>Funza, Cundinamarca, 25286</v>
      </c>
    </row>
    <row r="364" spans="1:7" x14ac:dyDescent="0.25">
      <c r="A364" t="s">
        <v>17</v>
      </c>
      <c r="B364">
        <v>25</v>
      </c>
      <c r="C364" t="s">
        <v>409</v>
      </c>
      <c r="D364">
        <v>25.288</v>
      </c>
      <c r="E364" t="str">
        <f t="shared" si="11"/>
        <v>25288</v>
      </c>
      <c r="F364" t="s">
        <v>432</v>
      </c>
      <c r="G364" t="str">
        <f t="shared" si="10"/>
        <v>Fúquene, Cundinamarca, 25288</v>
      </c>
    </row>
    <row r="365" spans="1:7" x14ac:dyDescent="0.25">
      <c r="A365" t="s">
        <v>17</v>
      </c>
      <c r="B365">
        <v>25</v>
      </c>
      <c r="C365" t="s">
        <v>409</v>
      </c>
      <c r="D365">
        <v>25.29</v>
      </c>
      <c r="E365" t="str">
        <f t="shared" si="11"/>
        <v>2529</v>
      </c>
      <c r="F365" t="s">
        <v>1053</v>
      </c>
      <c r="G365" t="str">
        <f t="shared" si="10"/>
        <v>Fusagasugá, Cundinamarca, 2529</v>
      </c>
    </row>
    <row r="366" spans="1:7" x14ac:dyDescent="0.25">
      <c r="A366" t="s">
        <v>17</v>
      </c>
      <c r="B366">
        <v>25</v>
      </c>
      <c r="C366" t="s">
        <v>409</v>
      </c>
      <c r="D366">
        <v>25.292999999999999</v>
      </c>
      <c r="E366" t="str">
        <f t="shared" si="11"/>
        <v>25293</v>
      </c>
      <c r="F366" t="s">
        <v>433</v>
      </c>
      <c r="G366" t="str">
        <f t="shared" si="10"/>
        <v>Gachala, Cundinamarca, 25293</v>
      </c>
    </row>
    <row r="367" spans="1:7" x14ac:dyDescent="0.25">
      <c r="A367" t="s">
        <v>17</v>
      </c>
      <c r="B367">
        <v>25</v>
      </c>
      <c r="C367" t="s">
        <v>409</v>
      </c>
      <c r="D367">
        <v>25.295000000000002</v>
      </c>
      <c r="E367" t="str">
        <f t="shared" si="11"/>
        <v>25295</v>
      </c>
      <c r="F367" t="s">
        <v>434</v>
      </c>
      <c r="G367" t="str">
        <f t="shared" si="10"/>
        <v>Gachancipá, Cundinamarca, 25295</v>
      </c>
    </row>
    <row r="368" spans="1:7" x14ac:dyDescent="0.25">
      <c r="A368" t="s">
        <v>17</v>
      </c>
      <c r="B368">
        <v>15</v>
      </c>
      <c r="C368" t="s">
        <v>18</v>
      </c>
      <c r="D368">
        <v>15.292999999999999</v>
      </c>
      <c r="E368" t="str">
        <f t="shared" si="11"/>
        <v>15293</v>
      </c>
      <c r="F368" t="s">
        <v>217</v>
      </c>
      <c r="G368" t="str">
        <f t="shared" si="10"/>
        <v>Gachantivá, Boyacá, 15293</v>
      </c>
    </row>
    <row r="369" spans="1:7" x14ac:dyDescent="0.25">
      <c r="A369" t="s">
        <v>17</v>
      </c>
      <c r="B369">
        <v>25</v>
      </c>
      <c r="C369" t="s">
        <v>409</v>
      </c>
      <c r="D369">
        <v>25.297000000000001</v>
      </c>
      <c r="E369" t="str">
        <f t="shared" si="11"/>
        <v>25297</v>
      </c>
      <c r="F369" t="s">
        <v>435</v>
      </c>
      <c r="G369" t="str">
        <f t="shared" si="10"/>
        <v>Gachetá, Cundinamarca, 25297</v>
      </c>
    </row>
    <row r="370" spans="1:7" x14ac:dyDescent="0.25">
      <c r="A370" t="s">
        <v>17</v>
      </c>
      <c r="B370">
        <v>68</v>
      </c>
      <c r="C370" t="s">
        <v>104</v>
      </c>
      <c r="D370">
        <v>68.296000000000006</v>
      </c>
      <c r="E370" t="str">
        <f t="shared" si="11"/>
        <v>68296</v>
      </c>
      <c r="F370" t="s">
        <v>702</v>
      </c>
      <c r="G370" t="str">
        <f t="shared" si="10"/>
        <v>Galán, Santander, 68296</v>
      </c>
    </row>
    <row r="371" spans="1:7" x14ac:dyDescent="0.25">
      <c r="A371" t="s">
        <v>56</v>
      </c>
      <c r="B371">
        <v>8</v>
      </c>
      <c r="C371" t="s">
        <v>137</v>
      </c>
      <c r="D371">
        <v>8.2959999999999994</v>
      </c>
      <c r="E371" t="str">
        <f t="shared" si="11"/>
        <v>8296</v>
      </c>
      <c r="F371" t="s">
        <v>141</v>
      </c>
      <c r="G371" t="str">
        <f t="shared" si="10"/>
        <v>Galapa, Atlántico, 8296</v>
      </c>
    </row>
    <row r="372" spans="1:7" x14ac:dyDescent="0.25">
      <c r="A372" t="s">
        <v>56</v>
      </c>
      <c r="B372">
        <v>70</v>
      </c>
      <c r="C372" t="s">
        <v>356</v>
      </c>
      <c r="D372">
        <v>70.234999999999999</v>
      </c>
      <c r="E372" t="str">
        <f t="shared" si="11"/>
        <v>70235</v>
      </c>
      <c r="F372" t="s">
        <v>746</v>
      </c>
      <c r="G372" t="str">
        <f t="shared" si="10"/>
        <v>Galeras, Sucre, 70235</v>
      </c>
    </row>
    <row r="373" spans="1:7" x14ac:dyDescent="0.25">
      <c r="A373" t="s">
        <v>17</v>
      </c>
      <c r="B373">
        <v>25</v>
      </c>
      <c r="C373" t="s">
        <v>409</v>
      </c>
      <c r="D373">
        <v>25.298999999999999</v>
      </c>
      <c r="E373" t="str">
        <f t="shared" si="11"/>
        <v>25299</v>
      </c>
      <c r="F373" t="s">
        <v>1032</v>
      </c>
      <c r="G373" t="str">
        <f t="shared" si="10"/>
        <v>Gama, Cundinamarca, 25299</v>
      </c>
    </row>
    <row r="374" spans="1:7" x14ac:dyDescent="0.25">
      <c r="A374" t="s">
        <v>56</v>
      </c>
      <c r="B374">
        <v>20</v>
      </c>
      <c r="C374" t="s">
        <v>362</v>
      </c>
      <c r="D374">
        <v>20.295000000000002</v>
      </c>
      <c r="E374" t="str">
        <f t="shared" si="11"/>
        <v>20295</v>
      </c>
      <c r="F374" t="s">
        <v>374</v>
      </c>
      <c r="G374" t="str">
        <f t="shared" si="10"/>
        <v>Gamarra, Cesar, 20295</v>
      </c>
    </row>
    <row r="375" spans="1:7" x14ac:dyDescent="0.25">
      <c r="A375" t="s">
        <v>17</v>
      </c>
      <c r="B375">
        <v>68</v>
      </c>
      <c r="C375" t="s">
        <v>104</v>
      </c>
      <c r="D375">
        <v>68.298000000000002</v>
      </c>
      <c r="E375" t="str">
        <f t="shared" si="11"/>
        <v>68298</v>
      </c>
      <c r="F375" t="s">
        <v>703</v>
      </c>
      <c r="G375" t="str">
        <f t="shared" si="10"/>
        <v>Gambita, Santander, 68298</v>
      </c>
    </row>
    <row r="376" spans="1:7" x14ac:dyDescent="0.25">
      <c r="A376" t="s">
        <v>17</v>
      </c>
      <c r="B376">
        <v>15</v>
      </c>
      <c r="C376" t="s">
        <v>18</v>
      </c>
      <c r="D376">
        <v>15.295999999999999</v>
      </c>
      <c r="E376" t="str">
        <f t="shared" si="11"/>
        <v>15296</v>
      </c>
      <c r="F376" t="s">
        <v>218</v>
      </c>
      <c r="G376" t="str">
        <f t="shared" si="10"/>
        <v>Gameza, Boyacá, 15296</v>
      </c>
    </row>
    <row r="377" spans="1:7" x14ac:dyDescent="0.25">
      <c r="A377" t="s">
        <v>17</v>
      </c>
      <c r="B377">
        <v>15</v>
      </c>
      <c r="C377" t="s">
        <v>18</v>
      </c>
      <c r="D377">
        <v>15.298999999999999</v>
      </c>
      <c r="E377" t="str">
        <f t="shared" si="11"/>
        <v>15299</v>
      </c>
      <c r="F377" t="s">
        <v>219</v>
      </c>
      <c r="G377" t="str">
        <f t="shared" si="10"/>
        <v>Garagoa, Boyacá, 15299</v>
      </c>
    </row>
    <row r="378" spans="1:7" x14ac:dyDescent="0.25">
      <c r="A378" t="s">
        <v>316</v>
      </c>
      <c r="B378">
        <v>41</v>
      </c>
      <c r="C378" t="s">
        <v>525</v>
      </c>
      <c r="D378">
        <v>41.298000000000002</v>
      </c>
      <c r="E378" t="str">
        <f t="shared" si="11"/>
        <v>41298</v>
      </c>
      <c r="F378" t="s">
        <v>536</v>
      </c>
      <c r="G378" t="str">
        <f t="shared" si="10"/>
        <v>Garzón, Huila, 41298</v>
      </c>
    </row>
    <row r="379" spans="1:7" x14ac:dyDescent="0.25">
      <c r="A379" t="s">
        <v>5</v>
      </c>
      <c r="B379">
        <v>63</v>
      </c>
      <c r="C379" t="s">
        <v>660</v>
      </c>
      <c r="D379">
        <v>63.302</v>
      </c>
      <c r="E379" t="str">
        <f t="shared" si="11"/>
        <v>63302</v>
      </c>
      <c r="F379" t="s">
        <v>1057</v>
      </c>
      <c r="G379" t="str">
        <f t="shared" si="10"/>
        <v>Génova, Quindío, 63302</v>
      </c>
    </row>
    <row r="380" spans="1:7" x14ac:dyDescent="0.25">
      <c r="A380" t="s">
        <v>316</v>
      </c>
      <c r="B380">
        <v>41</v>
      </c>
      <c r="C380" t="s">
        <v>525</v>
      </c>
      <c r="D380">
        <v>41.305999999999997</v>
      </c>
      <c r="E380" t="str">
        <f t="shared" si="11"/>
        <v>41306</v>
      </c>
      <c r="F380" t="s">
        <v>537</v>
      </c>
      <c r="G380" t="str">
        <f t="shared" si="10"/>
        <v>Gigante, Huila, 41306</v>
      </c>
    </row>
    <row r="381" spans="1:7" x14ac:dyDescent="0.25">
      <c r="A381" t="s">
        <v>62</v>
      </c>
      <c r="B381">
        <v>76</v>
      </c>
      <c r="C381" t="s">
        <v>942</v>
      </c>
      <c r="D381">
        <v>76.305999999999997</v>
      </c>
      <c r="E381" t="str">
        <f t="shared" si="11"/>
        <v>76306</v>
      </c>
      <c r="F381" t="s">
        <v>968</v>
      </c>
      <c r="G381" t="str">
        <f t="shared" si="10"/>
        <v>Ginebra, Valle del Cauca, 76306</v>
      </c>
    </row>
    <row r="382" spans="1:7" x14ac:dyDescent="0.25">
      <c r="A382" t="s">
        <v>5</v>
      </c>
      <c r="B382">
        <v>5</v>
      </c>
      <c r="C382" t="s">
        <v>6</v>
      </c>
      <c r="D382">
        <v>5.306</v>
      </c>
      <c r="E382" t="str">
        <f t="shared" si="11"/>
        <v>5306</v>
      </c>
      <c r="F382" t="s">
        <v>59</v>
      </c>
      <c r="G382" t="str">
        <f t="shared" si="10"/>
        <v>Giraldo, Antioquia, 5306</v>
      </c>
    </row>
    <row r="383" spans="1:7" x14ac:dyDescent="0.25">
      <c r="A383" t="s">
        <v>17</v>
      </c>
      <c r="B383">
        <v>25</v>
      </c>
      <c r="C383" t="s">
        <v>409</v>
      </c>
      <c r="D383">
        <v>25.306999999999999</v>
      </c>
      <c r="E383" t="str">
        <f t="shared" si="11"/>
        <v>25307</v>
      </c>
      <c r="F383" t="s">
        <v>436</v>
      </c>
      <c r="G383" t="str">
        <f t="shared" si="10"/>
        <v>Girardot, Cundinamarca, 25307</v>
      </c>
    </row>
    <row r="384" spans="1:7" x14ac:dyDescent="0.25">
      <c r="A384" t="s">
        <v>5</v>
      </c>
      <c r="B384">
        <v>5</v>
      </c>
      <c r="C384" t="s">
        <v>6</v>
      </c>
      <c r="D384">
        <v>5.3079999999999998</v>
      </c>
      <c r="E384" t="str">
        <f t="shared" si="11"/>
        <v>5308</v>
      </c>
      <c r="F384" t="s">
        <v>60</v>
      </c>
      <c r="G384" t="str">
        <f t="shared" si="10"/>
        <v>Girardota, Antioquia, 5308</v>
      </c>
    </row>
    <row r="385" spans="1:7" x14ac:dyDescent="0.25">
      <c r="A385" t="s">
        <v>17</v>
      </c>
      <c r="B385">
        <v>68</v>
      </c>
      <c r="C385" t="s">
        <v>104</v>
      </c>
      <c r="D385">
        <v>68.307000000000002</v>
      </c>
      <c r="E385" t="str">
        <f t="shared" si="11"/>
        <v>68307</v>
      </c>
      <c r="F385" t="s">
        <v>704</v>
      </c>
      <c r="G385" t="str">
        <f t="shared" si="10"/>
        <v>Girón, Santander, 68307</v>
      </c>
    </row>
    <row r="386" spans="1:7" x14ac:dyDescent="0.25">
      <c r="A386" t="s">
        <v>5</v>
      </c>
      <c r="B386">
        <v>5</v>
      </c>
      <c r="C386" t="s">
        <v>6</v>
      </c>
      <c r="D386">
        <v>5.31</v>
      </c>
      <c r="E386" t="str">
        <f t="shared" si="11"/>
        <v>531</v>
      </c>
      <c r="F386" t="s">
        <v>61</v>
      </c>
      <c r="G386" t="str">
        <f t="shared" ref="G386:G449" si="12">_xlfn.CONCAT(F386,", ",C386,", ",E386)</f>
        <v>Gómez Plata, Antioquia, 531</v>
      </c>
    </row>
    <row r="387" spans="1:7" x14ac:dyDescent="0.25">
      <c r="A387" t="s">
        <v>56</v>
      </c>
      <c r="B387">
        <v>20</v>
      </c>
      <c r="C387" t="s">
        <v>362</v>
      </c>
      <c r="D387">
        <v>20.309999999999999</v>
      </c>
      <c r="E387" t="str">
        <f t="shared" ref="E387:E450" si="13">SUBSTITUTE(D387, ".", "",1)</f>
        <v>2031</v>
      </c>
      <c r="F387" t="s">
        <v>375</v>
      </c>
      <c r="G387" t="str">
        <f t="shared" si="12"/>
        <v>González, Cesar, 2031</v>
      </c>
    </row>
    <row r="388" spans="1:7" x14ac:dyDescent="0.25">
      <c r="A388" t="s">
        <v>17</v>
      </c>
      <c r="B388">
        <v>54</v>
      </c>
      <c r="C388" t="s">
        <v>939</v>
      </c>
      <c r="D388">
        <v>54.313000000000002</v>
      </c>
      <c r="E388" t="str">
        <f t="shared" si="13"/>
        <v>54313</v>
      </c>
      <c r="F388" t="s">
        <v>954</v>
      </c>
      <c r="G388" t="str">
        <f t="shared" si="12"/>
        <v>Gramalote, Norte de Santander, 54313</v>
      </c>
    </row>
    <row r="389" spans="1:7" x14ac:dyDescent="0.25">
      <c r="A389" t="s">
        <v>5</v>
      </c>
      <c r="B389">
        <v>5</v>
      </c>
      <c r="C389" t="s">
        <v>6</v>
      </c>
      <c r="D389">
        <v>5.3129999999999997</v>
      </c>
      <c r="E389" t="str">
        <f t="shared" si="13"/>
        <v>5313</v>
      </c>
      <c r="F389" t="s">
        <v>437</v>
      </c>
      <c r="G389" t="str">
        <f t="shared" si="12"/>
        <v>Granada, Antioquia, 5313</v>
      </c>
    </row>
    <row r="390" spans="1:7" x14ac:dyDescent="0.25">
      <c r="A390" t="s">
        <v>17</v>
      </c>
      <c r="B390">
        <v>25</v>
      </c>
      <c r="C390" t="s">
        <v>409</v>
      </c>
      <c r="D390">
        <v>25.312000000000001</v>
      </c>
      <c r="E390" t="str">
        <f t="shared" si="13"/>
        <v>25312</v>
      </c>
      <c r="F390" t="s">
        <v>437</v>
      </c>
      <c r="G390" t="str">
        <f t="shared" si="12"/>
        <v>Granada, Cundinamarca, 25312</v>
      </c>
    </row>
    <row r="391" spans="1:7" x14ac:dyDescent="0.25">
      <c r="A391" t="s">
        <v>117</v>
      </c>
      <c r="B391">
        <v>50</v>
      </c>
      <c r="C391" t="s">
        <v>118</v>
      </c>
      <c r="D391">
        <v>50.313000000000002</v>
      </c>
      <c r="E391" t="str">
        <f t="shared" si="13"/>
        <v>50313</v>
      </c>
      <c r="F391" t="s">
        <v>437</v>
      </c>
      <c r="G391" t="str">
        <f t="shared" si="12"/>
        <v>Granada, Meta, 50313</v>
      </c>
    </row>
    <row r="392" spans="1:7" x14ac:dyDescent="0.25">
      <c r="A392" t="s">
        <v>17</v>
      </c>
      <c r="B392">
        <v>68</v>
      </c>
      <c r="C392" t="s">
        <v>104</v>
      </c>
      <c r="D392">
        <v>68.317999999999998</v>
      </c>
      <c r="E392" t="str">
        <f t="shared" si="13"/>
        <v>68318</v>
      </c>
      <c r="F392" t="s">
        <v>705</v>
      </c>
      <c r="G392" t="str">
        <f t="shared" si="12"/>
        <v>Guaca, Santander, 68318</v>
      </c>
    </row>
    <row r="393" spans="1:7" x14ac:dyDescent="0.25">
      <c r="A393" t="s">
        <v>17</v>
      </c>
      <c r="B393">
        <v>15</v>
      </c>
      <c r="C393" t="s">
        <v>18</v>
      </c>
      <c r="D393">
        <v>15.317</v>
      </c>
      <c r="E393" t="str">
        <f t="shared" si="13"/>
        <v>15317</v>
      </c>
      <c r="F393" t="s">
        <v>220</v>
      </c>
      <c r="G393" t="str">
        <f t="shared" si="12"/>
        <v>Guacamayas, Boyacá, 15317</v>
      </c>
    </row>
    <row r="394" spans="1:7" x14ac:dyDescent="0.25">
      <c r="A394" t="s">
        <v>62</v>
      </c>
      <c r="B394">
        <v>76</v>
      </c>
      <c r="C394" t="s">
        <v>942</v>
      </c>
      <c r="D394">
        <v>76.317999999999998</v>
      </c>
      <c r="E394" t="str">
        <f t="shared" si="13"/>
        <v>76318</v>
      </c>
      <c r="F394" t="s">
        <v>960</v>
      </c>
      <c r="G394" t="str">
        <f t="shared" si="12"/>
        <v>Guacarí, Valle del Cauca, 76318</v>
      </c>
    </row>
    <row r="395" spans="1:7" x14ac:dyDescent="0.25">
      <c r="A395" t="s">
        <v>62</v>
      </c>
      <c r="B395">
        <v>19</v>
      </c>
      <c r="C395" t="s">
        <v>327</v>
      </c>
      <c r="D395">
        <v>19.3</v>
      </c>
      <c r="E395" t="str">
        <f t="shared" si="13"/>
        <v>193</v>
      </c>
      <c r="F395" t="s">
        <v>337</v>
      </c>
      <c r="G395" t="str">
        <f t="shared" si="12"/>
        <v>Guachené, Cauca, 193</v>
      </c>
    </row>
    <row r="396" spans="1:7" x14ac:dyDescent="0.25">
      <c r="A396" t="s">
        <v>17</v>
      </c>
      <c r="B396">
        <v>25</v>
      </c>
      <c r="C396" t="s">
        <v>409</v>
      </c>
      <c r="D396">
        <v>25.317</v>
      </c>
      <c r="E396" t="str">
        <f t="shared" si="13"/>
        <v>25317</v>
      </c>
      <c r="F396" t="s">
        <v>438</v>
      </c>
      <c r="G396" t="str">
        <f t="shared" si="12"/>
        <v>Guachetá, Cundinamarca, 25317</v>
      </c>
    </row>
    <row r="397" spans="1:7" x14ac:dyDescent="0.25">
      <c r="A397" t="s">
        <v>62</v>
      </c>
      <c r="B397">
        <v>52</v>
      </c>
      <c r="C397" t="s">
        <v>84</v>
      </c>
      <c r="D397">
        <v>52.317</v>
      </c>
      <c r="E397" t="str">
        <f t="shared" si="13"/>
        <v>52317</v>
      </c>
      <c r="F397" t="s">
        <v>627</v>
      </c>
      <c r="G397" t="str">
        <f t="shared" si="12"/>
        <v>Guachucal, Nariño, 52317</v>
      </c>
    </row>
    <row r="398" spans="1:7" x14ac:dyDescent="0.25">
      <c r="A398" t="s">
        <v>62</v>
      </c>
      <c r="B398">
        <v>76</v>
      </c>
      <c r="C398" t="s">
        <v>942</v>
      </c>
      <c r="D398">
        <v>76.111000000000004</v>
      </c>
      <c r="E398" t="str">
        <f t="shared" si="13"/>
        <v>76111</v>
      </c>
      <c r="F398" t="s">
        <v>975</v>
      </c>
      <c r="G398" t="str">
        <f t="shared" si="12"/>
        <v>Guadalajara de Buga, Valle del Cauca, 76111</v>
      </c>
    </row>
    <row r="399" spans="1:7" x14ac:dyDescent="0.25">
      <c r="A399" t="s">
        <v>5</v>
      </c>
      <c r="B399">
        <v>5</v>
      </c>
      <c r="C399" t="s">
        <v>6</v>
      </c>
      <c r="D399">
        <v>5.3150000000000004</v>
      </c>
      <c r="E399" t="str">
        <f t="shared" si="13"/>
        <v>5315</v>
      </c>
      <c r="F399" t="s">
        <v>65</v>
      </c>
      <c r="G399" t="str">
        <f t="shared" si="12"/>
        <v>Guadalupe, Antioquia, 5315</v>
      </c>
    </row>
    <row r="400" spans="1:7" x14ac:dyDescent="0.25">
      <c r="A400" t="s">
        <v>316</v>
      </c>
      <c r="B400">
        <v>41</v>
      </c>
      <c r="C400" t="s">
        <v>525</v>
      </c>
      <c r="D400">
        <v>41.319000000000003</v>
      </c>
      <c r="E400" t="str">
        <f t="shared" si="13"/>
        <v>41319</v>
      </c>
      <c r="F400" t="s">
        <v>65</v>
      </c>
      <c r="G400" t="str">
        <f t="shared" si="12"/>
        <v>Guadalupe, Huila, 41319</v>
      </c>
    </row>
    <row r="401" spans="1:7" x14ac:dyDescent="0.25">
      <c r="A401" t="s">
        <v>17</v>
      </c>
      <c r="B401">
        <v>68</v>
      </c>
      <c r="C401" t="s">
        <v>104</v>
      </c>
      <c r="D401">
        <v>68.319999999999993</v>
      </c>
      <c r="E401" t="str">
        <f t="shared" si="13"/>
        <v>6832</v>
      </c>
      <c r="F401" t="s">
        <v>65</v>
      </c>
      <c r="G401" t="str">
        <f t="shared" si="12"/>
        <v>Guadalupe, Santander, 6832</v>
      </c>
    </row>
    <row r="402" spans="1:7" x14ac:dyDescent="0.25">
      <c r="A402" t="s">
        <v>17</v>
      </c>
      <c r="B402">
        <v>25</v>
      </c>
      <c r="C402" t="s">
        <v>409</v>
      </c>
      <c r="D402">
        <v>25.32</v>
      </c>
      <c r="E402" t="str">
        <f t="shared" si="13"/>
        <v>2532</v>
      </c>
      <c r="F402" t="s">
        <v>439</v>
      </c>
      <c r="G402" t="str">
        <f t="shared" si="12"/>
        <v>Guaduas, Cundinamarca, 2532</v>
      </c>
    </row>
    <row r="403" spans="1:7" x14ac:dyDescent="0.25">
      <c r="A403" t="s">
        <v>62</v>
      </c>
      <c r="B403">
        <v>52</v>
      </c>
      <c r="C403" t="s">
        <v>84</v>
      </c>
      <c r="D403">
        <v>52.32</v>
      </c>
      <c r="E403" t="str">
        <f t="shared" si="13"/>
        <v>5232</v>
      </c>
      <c r="F403" t="s">
        <v>628</v>
      </c>
      <c r="G403" t="str">
        <f t="shared" si="12"/>
        <v>Guaitarilla, Nariño, 5232</v>
      </c>
    </row>
    <row r="404" spans="1:7" x14ac:dyDescent="0.25">
      <c r="A404" t="s">
        <v>62</v>
      </c>
      <c r="B404">
        <v>52</v>
      </c>
      <c r="C404" t="s">
        <v>84</v>
      </c>
      <c r="D404">
        <v>52.323</v>
      </c>
      <c r="E404" t="str">
        <f t="shared" si="13"/>
        <v>52323</v>
      </c>
      <c r="F404" t="s">
        <v>629</v>
      </c>
      <c r="G404" t="str">
        <f t="shared" si="12"/>
        <v>Gualmatán, Nariño, 52323</v>
      </c>
    </row>
    <row r="405" spans="1:7" x14ac:dyDescent="0.25">
      <c r="A405" t="s">
        <v>56</v>
      </c>
      <c r="B405">
        <v>47</v>
      </c>
      <c r="C405" t="s">
        <v>570</v>
      </c>
      <c r="D405">
        <v>47.317999999999998</v>
      </c>
      <c r="E405" t="str">
        <f t="shared" si="13"/>
        <v>47318</v>
      </c>
      <c r="F405" t="s">
        <v>581</v>
      </c>
      <c r="G405" t="str">
        <f t="shared" si="12"/>
        <v>Guamal, Magdalena, 47318</v>
      </c>
    </row>
    <row r="406" spans="1:7" x14ac:dyDescent="0.25">
      <c r="A406" t="s">
        <v>117</v>
      </c>
      <c r="B406">
        <v>50</v>
      </c>
      <c r="C406" t="s">
        <v>118</v>
      </c>
      <c r="D406">
        <v>50.317999999999998</v>
      </c>
      <c r="E406" t="str">
        <f t="shared" si="13"/>
        <v>50318</v>
      </c>
      <c r="F406" t="s">
        <v>581</v>
      </c>
      <c r="G406" t="str">
        <f t="shared" si="12"/>
        <v>Guamal, Meta, 50318</v>
      </c>
    </row>
    <row r="407" spans="1:7" x14ac:dyDescent="0.25">
      <c r="A407" t="s">
        <v>316</v>
      </c>
      <c r="B407">
        <v>73</v>
      </c>
      <c r="C407" t="s">
        <v>757</v>
      </c>
      <c r="D407">
        <v>73.319000000000003</v>
      </c>
      <c r="E407" t="str">
        <f t="shared" si="13"/>
        <v>73319</v>
      </c>
      <c r="F407" t="s">
        <v>773</v>
      </c>
      <c r="G407" t="str">
        <f t="shared" si="12"/>
        <v>Guamo, Tolima, 73319</v>
      </c>
    </row>
    <row r="408" spans="1:7" x14ac:dyDescent="0.25">
      <c r="A408" t="s">
        <v>62</v>
      </c>
      <c r="B408">
        <v>19</v>
      </c>
      <c r="C408" t="s">
        <v>327</v>
      </c>
      <c r="D408">
        <v>19.318000000000001</v>
      </c>
      <c r="E408" t="str">
        <f t="shared" si="13"/>
        <v>19318</v>
      </c>
      <c r="F408" t="s">
        <v>338</v>
      </c>
      <c r="G408" t="str">
        <f t="shared" si="12"/>
        <v>Guapi, Cauca, 19318</v>
      </c>
    </row>
    <row r="409" spans="1:7" x14ac:dyDescent="0.25">
      <c r="A409" t="s">
        <v>17</v>
      </c>
      <c r="B409">
        <v>68</v>
      </c>
      <c r="C409" t="s">
        <v>104</v>
      </c>
      <c r="D409">
        <v>68.322000000000003</v>
      </c>
      <c r="E409" t="str">
        <f t="shared" si="13"/>
        <v>68322</v>
      </c>
      <c r="F409" t="s">
        <v>706</v>
      </c>
      <c r="G409" t="str">
        <f t="shared" si="12"/>
        <v>Guapotá, Santander, 68322</v>
      </c>
    </row>
    <row r="410" spans="1:7" x14ac:dyDescent="0.25">
      <c r="A410" t="s">
        <v>56</v>
      </c>
      <c r="B410">
        <v>70</v>
      </c>
      <c r="C410" t="s">
        <v>356</v>
      </c>
      <c r="D410">
        <v>70.265000000000001</v>
      </c>
      <c r="E410" t="str">
        <f t="shared" si="13"/>
        <v>70265</v>
      </c>
      <c r="F410" t="s">
        <v>747</v>
      </c>
      <c r="G410" t="str">
        <f t="shared" si="12"/>
        <v>Guaranda, Sucre, 70265</v>
      </c>
    </row>
    <row r="411" spans="1:7" x14ac:dyDescent="0.25">
      <c r="A411" t="s">
        <v>5</v>
      </c>
      <c r="B411">
        <v>5</v>
      </c>
      <c r="C411" t="s">
        <v>6</v>
      </c>
      <c r="D411">
        <v>5.3179999999999996</v>
      </c>
      <c r="E411" t="str">
        <f t="shared" si="13"/>
        <v>5318</v>
      </c>
      <c r="F411" t="s">
        <v>66</v>
      </c>
      <c r="G411" t="str">
        <f t="shared" si="12"/>
        <v>Guarne, Antioquia, 5318</v>
      </c>
    </row>
    <row r="412" spans="1:7" x14ac:dyDescent="0.25">
      <c r="A412" t="s">
        <v>17</v>
      </c>
      <c r="B412">
        <v>25</v>
      </c>
      <c r="C412" t="s">
        <v>409</v>
      </c>
      <c r="D412">
        <v>25.321999999999999</v>
      </c>
      <c r="E412" t="str">
        <f t="shared" si="13"/>
        <v>25322</v>
      </c>
      <c r="F412" t="s">
        <v>440</v>
      </c>
      <c r="G412" t="str">
        <f t="shared" si="12"/>
        <v>Guasca, Cundinamarca, 25322</v>
      </c>
    </row>
    <row r="413" spans="1:7" x14ac:dyDescent="0.25">
      <c r="A413" t="s">
        <v>5</v>
      </c>
      <c r="B413">
        <v>5</v>
      </c>
      <c r="C413" t="s">
        <v>6</v>
      </c>
      <c r="D413">
        <v>5.3209999999999997</v>
      </c>
      <c r="E413" t="str">
        <f t="shared" si="13"/>
        <v>5321</v>
      </c>
      <c r="F413" t="s">
        <v>67</v>
      </c>
      <c r="G413" t="str">
        <f t="shared" si="12"/>
        <v>Guatapé, Antioquia, 5321</v>
      </c>
    </row>
    <row r="414" spans="1:7" x14ac:dyDescent="0.25">
      <c r="A414" t="s">
        <v>17</v>
      </c>
      <c r="B414">
        <v>25</v>
      </c>
      <c r="C414" t="s">
        <v>409</v>
      </c>
      <c r="D414">
        <v>25.324000000000002</v>
      </c>
      <c r="E414" t="str">
        <f t="shared" si="13"/>
        <v>25324</v>
      </c>
      <c r="F414" t="s">
        <v>441</v>
      </c>
      <c r="G414" t="str">
        <f t="shared" si="12"/>
        <v>Guataquí, Cundinamarca, 25324</v>
      </c>
    </row>
    <row r="415" spans="1:7" x14ac:dyDescent="0.25">
      <c r="A415" t="s">
        <v>17</v>
      </c>
      <c r="B415">
        <v>25</v>
      </c>
      <c r="C415" t="s">
        <v>409</v>
      </c>
      <c r="D415">
        <v>25.326000000000001</v>
      </c>
      <c r="E415" t="str">
        <f t="shared" si="13"/>
        <v>25326</v>
      </c>
      <c r="F415" t="s">
        <v>442</v>
      </c>
      <c r="G415" t="str">
        <f t="shared" si="12"/>
        <v>Guatavita, Cundinamarca, 25326</v>
      </c>
    </row>
    <row r="416" spans="1:7" x14ac:dyDescent="0.25">
      <c r="A416" t="s">
        <v>17</v>
      </c>
      <c r="B416">
        <v>15</v>
      </c>
      <c r="C416" t="s">
        <v>18</v>
      </c>
      <c r="D416">
        <v>15.321999999999999</v>
      </c>
      <c r="E416" t="str">
        <f t="shared" si="13"/>
        <v>15322</v>
      </c>
      <c r="F416" t="s">
        <v>221</v>
      </c>
      <c r="G416" t="str">
        <f t="shared" si="12"/>
        <v>Guateque, Boyacá, 15322</v>
      </c>
    </row>
    <row r="417" spans="1:7" x14ac:dyDescent="0.25">
      <c r="A417" t="s">
        <v>5</v>
      </c>
      <c r="B417">
        <v>66</v>
      </c>
      <c r="C417" t="s">
        <v>308</v>
      </c>
      <c r="D417">
        <v>66.317999999999998</v>
      </c>
      <c r="E417" t="str">
        <f t="shared" si="13"/>
        <v>66318</v>
      </c>
      <c r="F417" t="s">
        <v>671</v>
      </c>
      <c r="G417" t="str">
        <f t="shared" si="12"/>
        <v>Guática, Risaralda, 66318</v>
      </c>
    </row>
    <row r="418" spans="1:7" x14ac:dyDescent="0.25">
      <c r="A418" t="s">
        <v>17</v>
      </c>
      <c r="B418">
        <v>68</v>
      </c>
      <c r="C418" t="s">
        <v>104</v>
      </c>
      <c r="D418">
        <v>68.323999999999998</v>
      </c>
      <c r="E418" t="str">
        <f t="shared" si="13"/>
        <v>68324</v>
      </c>
      <c r="F418" t="s">
        <v>707</v>
      </c>
      <c r="G418" t="str">
        <f t="shared" si="12"/>
        <v>Guavatá, Santander, 68324</v>
      </c>
    </row>
    <row r="419" spans="1:7" x14ac:dyDescent="0.25">
      <c r="A419" t="s">
        <v>17</v>
      </c>
      <c r="B419">
        <v>25</v>
      </c>
      <c r="C419" t="s">
        <v>409</v>
      </c>
      <c r="D419">
        <v>25.327999999999999</v>
      </c>
      <c r="E419" t="str">
        <f t="shared" si="13"/>
        <v>25328</v>
      </c>
      <c r="F419" t="s">
        <v>886</v>
      </c>
      <c r="G419" t="str">
        <f t="shared" si="12"/>
        <v>Guayabal de Siquima, Cundinamarca, 25328</v>
      </c>
    </row>
    <row r="420" spans="1:7" x14ac:dyDescent="0.25">
      <c r="A420" t="s">
        <v>17</v>
      </c>
      <c r="B420">
        <v>25</v>
      </c>
      <c r="C420" t="s">
        <v>409</v>
      </c>
      <c r="D420">
        <v>25.335000000000001</v>
      </c>
      <c r="E420" t="str">
        <f t="shared" si="13"/>
        <v>25335</v>
      </c>
      <c r="F420" t="s">
        <v>443</v>
      </c>
      <c r="G420" t="str">
        <f t="shared" si="12"/>
        <v>Guayabetal, Cundinamarca, 25335</v>
      </c>
    </row>
    <row r="421" spans="1:7" x14ac:dyDescent="0.25">
      <c r="A421" t="s">
        <v>17</v>
      </c>
      <c r="B421">
        <v>15</v>
      </c>
      <c r="C421" t="s">
        <v>18</v>
      </c>
      <c r="D421">
        <v>15.324999999999999</v>
      </c>
      <c r="E421" t="str">
        <f t="shared" si="13"/>
        <v>15325</v>
      </c>
      <c r="F421" t="s">
        <v>222</v>
      </c>
      <c r="G421" t="str">
        <f t="shared" si="12"/>
        <v>Guayatá, Boyacá, 15325</v>
      </c>
    </row>
    <row r="422" spans="1:7" x14ac:dyDescent="0.25">
      <c r="A422" t="s">
        <v>17</v>
      </c>
      <c r="B422">
        <v>68</v>
      </c>
      <c r="C422" t="s">
        <v>104</v>
      </c>
      <c r="D422">
        <v>68.326999999999998</v>
      </c>
      <c r="E422" t="str">
        <f t="shared" si="13"/>
        <v>68327</v>
      </c>
      <c r="F422" t="s">
        <v>708</v>
      </c>
      <c r="G422" t="str">
        <f t="shared" si="12"/>
        <v>Güepsa, Santander, 68327</v>
      </c>
    </row>
    <row r="423" spans="1:7" x14ac:dyDescent="0.25">
      <c r="A423" t="s">
        <v>17</v>
      </c>
      <c r="B423">
        <v>15</v>
      </c>
      <c r="C423" t="s">
        <v>18</v>
      </c>
      <c r="D423">
        <v>15.332000000000001</v>
      </c>
      <c r="E423" t="str">
        <f t="shared" si="13"/>
        <v>15332</v>
      </c>
      <c r="F423" t="s">
        <v>223</v>
      </c>
      <c r="G423" t="str">
        <f t="shared" si="12"/>
        <v>Güicán, Boyacá, 15332</v>
      </c>
    </row>
    <row r="424" spans="1:7" x14ac:dyDescent="0.25">
      <c r="A424" t="s">
        <v>17</v>
      </c>
      <c r="B424">
        <v>25</v>
      </c>
      <c r="C424" t="s">
        <v>409</v>
      </c>
      <c r="D424">
        <v>25.338999999999999</v>
      </c>
      <c r="E424" t="str">
        <f t="shared" si="13"/>
        <v>25339</v>
      </c>
      <c r="F424" t="s">
        <v>444</v>
      </c>
      <c r="G424" t="str">
        <f t="shared" si="12"/>
        <v>Gutiérrez, Cundinamarca, 25339</v>
      </c>
    </row>
    <row r="425" spans="1:7" x14ac:dyDescent="0.25">
      <c r="A425" t="s">
        <v>17</v>
      </c>
      <c r="B425">
        <v>54</v>
      </c>
      <c r="C425" t="s">
        <v>939</v>
      </c>
      <c r="D425">
        <v>54.344000000000001</v>
      </c>
      <c r="E425" t="str">
        <f t="shared" si="13"/>
        <v>54344</v>
      </c>
      <c r="F425" t="s">
        <v>966</v>
      </c>
      <c r="G425" t="str">
        <f t="shared" si="12"/>
        <v>Hacarí, Norte de Santander, 54344</v>
      </c>
    </row>
    <row r="426" spans="1:7" x14ac:dyDescent="0.25">
      <c r="A426" t="s">
        <v>56</v>
      </c>
      <c r="B426">
        <v>13</v>
      </c>
      <c r="C426" t="s">
        <v>154</v>
      </c>
      <c r="D426">
        <v>13.3</v>
      </c>
      <c r="E426" t="str">
        <f t="shared" si="13"/>
        <v>133</v>
      </c>
      <c r="F426" t="s">
        <v>869</v>
      </c>
      <c r="G426" t="str">
        <f t="shared" si="12"/>
        <v>Hatillo de Loba, Bolívar, 133</v>
      </c>
    </row>
    <row r="427" spans="1:7" x14ac:dyDescent="0.25">
      <c r="A427" t="s">
        <v>117</v>
      </c>
      <c r="B427">
        <v>85</v>
      </c>
      <c r="C427" t="s">
        <v>802</v>
      </c>
      <c r="D427">
        <v>85.125</v>
      </c>
      <c r="E427" t="str">
        <f t="shared" si="13"/>
        <v>85125</v>
      </c>
      <c r="F427" t="s">
        <v>806</v>
      </c>
      <c r="G427" t="str">
        <f t="shared" si="12"/>
        <v>Hato Corozal, Casanare, 85125</v>
      </c>
    </row>
    <row r="428" spans="1:7" x14ac:dyDescent="0.25">
      <c r="A428" t="s">
        <v>17</v>
      </c>
      <c r="B428">
        <v>68</v>
      </c>
      <c r="C428" t="s">
        <v>104</v>
      </c>
      <c r="D428">
        <v>68.343999999999994</v>
      </c>
      <c r="E428" t="str">
        <f t="shared" si="13"/>
        <v>68344</v>
      </c>
      <c r="F428" t="s">
        <v>935</v>
      </c>
      <c r="G428" t="str">
        <f t="shared" si="12"/>
        <v>Hato, Santander, 68344</v>
      </c>
    </row>
    <row r="429" spans="1:7" x14ac:dyDescent="0.25">
      <c r="A429" t="s">
        <v>56</v>
      </c>
      <c r="B429">
        <v>44</v>
      </c>
      <c r="C429" t="s">
        <v>559</v>
      </c>
      <c r="D429">
        <v>44.378</v>
      </c>
      <c r="E429" t="str">
        <f t="shared" si="13"/>
        <v>44378</v>
      </c>
      <c r="F429" t="s">
        <v>566</v>
      </c>
      <c r="G429" t="str">
        <f t="shared" si="12"/>
        <v>Hatonuevo, La Guajira, 44378</v>
      </c>
    </row>
    <row r="430" spans="1:7" x14ac:dyDescent="0.25">
      <c r="A430" t="s">
        <v>5</v>
      </c>
      <c r="B430">
        <v>5</v>
      </c>
      <c r="C430" t="s">
        <v>6</v>
      </c>
      <c r="D430">
        <v>5.3470000000000004</v>
      </c>
      <c r="E430" t="str">
        <f t="shared" si="13"/>
        <v>5347</v>
      </c>
      <c r="F430" t="s">
        <v>68</v>
      </c>
      <c r="G430" t="str">
        <f t="shared" si="12"/>
        <v>Heliconia, Antioquia, 5347</v>
      </c>
    </row>
    <row r="431" spans="1:7" x14ac:dyDescent="0.25">
      <c r="A431" t="s">
        <v>17</v>
      </c>
      <c r="B431">
        <v>54</v>
      </c>
      <c r="C431" t="s">
        <v>939</v>
      </c>
      <c r="D431">
        <v>54.347000000000001</v>
      </c>
      <c r="E431" t="str">
        <f t="shared" si="13"/>
        <v>54347</v>
      </c>
      <c r="F431" t="s">
        <v>967</v>
      </c>
      <c r="G431" t="str">
        <f t="shared" si="12"/>
        <v>Herrán, Norte de Santander, 54347</v>
      </c>
    </row>
    <row r="432" spans="1:7" x14ac:dyDescent="0.25">
      <c r="A432" t="s">
        <v>316</v>
      </c>
      <c r="B432">
        <v>73</v>
      </c>
      <c r="C432" t="s">
        <v>757</v>
      </c>
      <c r="D432">
        <v>73.346999999999994</v>
      </c>
      <c r="E432" t="str">
        <f t="shared" si="13"/>
        <v>73347</v>
      </c>
      <c r="F432" t="s">
        <v>774</v>
      </c>
      <c r="G432" t="str">
        <f t="shared" si="12"/>
        <v>Herveo, Tolima, 73347</v>
      </c>
    </row>
    <row r="433" spans="1:7" x14ac:dyDescent="0.25">
      <c r="A433" t="s">
        <v>5</v>
      </c>
      <c r="B433">
        <v>5</v>
      </c>
      <c r="C433" t="s">
        <v>6</v>
      </c>
      <c r="D433">
        <v>5.3529999999999998</v>
      </c>
      <c r="E433" t="str">
        <f t="shared" si="13"/>
        <v>5353</v>
      </c>
      <c r="F433" t="s">
        <v>69</v>
      </c>
      <c r="G433" t="str">
        <f t="shared" si="12"/>
        <v>Hispania, Antioquia, 5353</v>
      </c>
    </row>
    <row r="434" spans="1:7" x14ac:dyDescent="0.25">
      <c r="A434" t="s">
        <v>316</v>
      </c>
      <c r="B434">
        <v>41</v>
      </c>
      <c r="C434" t="s">
        <v>525</v>
      </c>
      <c r="D434">
        <v>41.348999999999997</v>
      </c>
      <c r="E434" t="str">
        <f t="shared" si="13"/>
        <v>41349</v>
      </c>
      <c r="F434" t="s">
        <v>538</v>
      </c>
      <c r="G434" t="str">
        <f t="shared" si="12"/>
        <v>Hobo, Huila, 41349</v>
      </c>
    </row>
    <row r="435" spans="1:7" x14ac:dyDescent="0.25">
      <c r="A435" t="s">
        <v>316</v>
      </c>
      <c r="B435">
        <v>73</v>
      </c>
      <c r="C435" t="s">
        <v>757</v>
      </c>
      <c r="D435">
        <v>73.349000000000004</v>
      </c>
      <c r="E435" t="str">
        <f t="shared" si="13"/>
        <v>73349</v>
      </c>
      <c r="F435" t="s">
        <v>775</v>
      </c>
      <c r="G435" t="str">
        <f t="shared" si="12"/>
        <v>Honda, Tolima, 73349</v>
      </c>
    </row>
    <row r="436" spans="1:7" x14ac:dyDescent="0.25">
      <c r="A436" t="s">
        <v>316</v>
      </c>
      <c r="B436">
        <v>73</v>
      </c>
      <c r="C436" t="s">
        <v>757</v>
      </c>
      <c r="D436">
        <v>73.001000000000005</v>
      </c>
      <c r="E436" t="str">
        <f t="shared" si="13"/>
        <v>73001</v>
      </c>
      <c r="F436" t="s">
        <v>1028</v>
      </c>
      <c r="G436" t="str">
        <f t="shared" si="12"/>
        <v>Ibagué, Tolima, 73001</v>
      </c>
    </row>
    <row r="437" spans="1:7" x14ac:dyDescent="0.25">
      <c r="A437" t="s">
        <v>316</v>
      </c>
      <c r="B437">
        <v>73</v>
      </c>
      <c r="C437" t="s">
        <v>757</v>
      </c>
      <c r="D437">
        <v>73.352000000000004</v>
      </c>
      <c r="E437" t="str">
        <f t="shared" si="13"/>
        <v>73352</v>
      </c>
      <c r="F437" t="s">
        <v>776</v>
      </c>
      <c r="G437" t="str">
        <f t="shared" si="12"/>
        <v>Icononzo, Tolima, 73352</v>
      </c>
    </row>
    <row r="438" spans="1:7" x14ac:dyDescent="0.25">
      <c r="A438" t="s">
        <v>62</v>
      </c>
      <c r="B438">
        <v>52</v>
      </c>
      <c r="C438" t="s">
        <v>84</v>
      </c>
      <c r="D438">
        <v>52.351999999999997</v>
      </c>
      <c r="E438" t="str">
        <f t="shared" si="13"/>
        <v>52352</v>
      </c>
      <c r="F438" t="s">
        <v>630</v>
      </c>
      <c r="G438" t="str">
        <f t="shared" si="12"/>
        <v>Iles, Nariño, 52352</v>
      </c>
    </row>
    <row r="439" spans="1:7" x14ac:dyDescent="0.25">
      <c r="A439" t="s">
        <v>62</v>
      </c>
      <c r="B439">
        <v>52</v>
      </c>
      <c r="C439" t="s">
        <v>84</v>
      </c>
      <c r="D439">
        <v>52.353999999999999</v>
      </c>
      <c r="E439" t="str">
        <f t="shared" si="13"/>
        <v>52354</v>
      </c>
      <c r="F439" t="s">
        <v>631</v>
      </c>
      <c r="G439" t="str">
        <f t="shared" si="12"/>
        <v>Imués, Nariño, 52354</v>
      </c>
    </row>
    <row r="440" spans="1:7" x14ac:dyDescent="0.25">
      <c r="A440" t="s">
        <v>117</v>
      </c>
      <c r="B440">
        <v>94</v>
      </c>
      <c r="C440" t="s">
        <v>831</v>
      </c>
      <c r="D440">
        <v>94.001000000000005</v>
      </c>
      <c r="E440" t="str">
        <f t="shared" si="13"/>
        <v>94001</v>
      </c>
      <c r="F440" t="s">
        <v>832</v>
      </c>
      <c r="G440" t="str">
        <f t="shared" si="12"/>
        <v>Inírida, Guainía, 94001</v>
      </c>
    </row>
    <row r="441" spans="1:7" x14ac:dyDescent="0.25">
      <c r="A441" t="s">
        <v>62</v>
      </c>
      <c r="B441">
        <v>19</v>
      </c>
      <c r="C441" t="s">
        <v>327</v>
      </c>
      <c r="D441">
        <v>19.355</v>
      </c>
      <c r="E441" t="str">
        <f t="shared" si="13"/>
        <v>19355</v>
      </c>
      <c r="F441" t="s">
        <v>339</v>
      </c>
      <c r="G441" t="str">
        <f t="shared" si="12"/>
        <v>Inzá, Cauca, 19355</v>
      </c>
    </row>
    <row r="442" spans="1:7" x14ac:dyDescent="0.25">
      <c r="A442" t="s">
        <v>62</v>
      </c>
      <c r="B442">
        <v>52</v>
      </c>
      <c r="C442" t="s">
        <v>84</v>
      </c>
      <c r="D442">
        <v>52.356000000000002</v>
      </c>
      <c r="E442" t="str">
        <f t="shared" si="13"/>
        <v>52356</v>
      </c>
      <c r="F442" t="s">
        <v>632</v>
      </c>
      <c r="G442" t="str">
        <f t="shared" si="12"/>
        <v>Ipiales, Nariño, 52356</v>
      </c>
    </row>
    <row r="443" spans="1:7" x14ac:dyDescent="0.25">
      <c r="A443" t="s">
        <v>316</v>
      </c>
      <c r="B443">
        <v>41</v>
      </c>
      <c r="C443" t="s">
        <v>525</v>
      </c>
      <c r="D443">
        <v>41.356999999999999</v>
      </c>
      <c r="E443" t="str">
        <f t="shared" si="13"/>
        <v>41357</v>
      </c>
      <c r="F443" t="s">
        <v>539</v>
      </c>
      <c r="G443" t="str">
        <f t="shared" si="12"/>
        <v>Iquira, Huila, 41357</v>
      </c>
    </row>
    <row r="444" spans="1:7" x14ac:dyDescent="0.25">
      <c r="A444" t="s">
        <v>316</v>
      </c>
      <c r="B444">
        <v>41</v>
      </c>
      <c r="C444" t="s">
        <v>525</v>
      </c>
      <c r="D444">
        <v>41.359000000000002</v>
      </c>
      <c r="E444" t="str">
        <f t="shared" si="13"/>
        <v>41359</v>
      </c>
      <c r="F444" t="s">
        <v>540</v>
      </c>
      <c r="G444" t="str">
        <f t="shared" si="12"/>
        <v>Isnos, Huila, 41359</v>
      </c>
    </row>
    <row r="445" spans="1:7" x14ac:dyDescent="0.25">
      <c r="A445" t="s">
        <v>62</v>
      </c>
      <c r="B445">
        <v>27</v>
      </c>
      <c r="C445" t="s">
        <v>63</v>
      </c>
      <c r="D445">
        <v>27.361000000000001</v>
      </c>
      <c r="E445" t="str">
        <f t="shared" si="13"/>
        <v>27361</v>
      </c>
      <c r="F445" t="s">
        <v>64</v>
      </c>
      <c r="G445" t="str">
        <f t="shared" si="12"/>
        <v>Istmina, Chocó, 27361</v>
      </c>
    </row>
    <row r="446" spans="1:7" x14ac:dyDescent="0.25">
      <c r="A446" t="s">
        <v>5</v>
      </c>
      <c r="B446">
        <v>5</v>
      </c>
      <c r="C446" t="s">
        <v>6</v>
      </c>
      <c r="D446">
        <v>5.36</v>
      </c>
      <c r="E446" t="str">
        <f t="shared" si="13"/>
        <v>536</v>
      </c>
      <c r="F446" t="s">
        <v>70</v>
      </c>
      <c r="G446" t="str">
        <f t="shared" si="12"/>
        <v>Itagui, Antioquia, 536</v>
      </c>
    </row>
    <row r="447" spans="1:7" x14ac:dyDescent="0.25">
      <c r="A447" t="s">
        <v>5</v>
      </c>
      <c r="B447">
        <v>5</v>
      </c>
      <c r="C447" t="s">
        <v>6</v>
      </c>
      <c r="D447">
        <v>5.3609999999999998</v>
      </c>
      <c r="E447" t="str">
        <f t="shared" si="13"/>
        <v>5361</v>
      </c>
      <c r="F447" t="s">
        <v>71</v>
      </c>
      <c r="G447" t="str">
        <f t="shared" si="12"/>
        <v>Ituango, Antioquia, 5361</v>
      </c>
    </row>
    <row r="448" spans="1:7" x14ac:dyDescent="0.25">
      <c r="A448" t="s">
        <v>17</v>
      </c>
      <c r="B448">
        <v>15</v>
      </c>
      <c r="C448" t="s">
        <v>18</v>
      </c>
      <c r="D448">
        <v>15.362</v>
      </c>
      <c r="E448" t="str">
        <f t="shared" si="13"/>
        <v>15362</v>
      </c>
      <c r="F448" t="s">
        <v>224</v>
      </c>
      <c r="G448" t="str">
        <f t="shared" si="12"/>
        <v>Iza, Boyacá, 15362</v>
      </c>
    </row>
    <row r="449" spans="1:7" x14ac:dyDescent="0.25">
      <c r="A449" t="s">
        <v>62</v>
      </c>
      <c r="B449">
        <v>19</v>
      </c>
      <c r="C449" t="s">
        <v>327</v>
      </c>
      <c r="D449">
        <v>19.364000000000001</v>
      </c>
      <c r="E449" t="str">
        <f t="shared" si="13"/>
        <v>19364</v>
      </c>
      <c r="F449" t="s">
        <v>340</v>
      </c>
      <c r="G449" t="str">
        <f t="shared" si="12"/>
        <v>Jambaló, Cauca, 19364</v>
      </c>
    </row>
    <row r="450" spans="1:7" x14ac:dyDescent="0.25">
      <c r="A450" t="s">
        <v>62</v>
      </c>
      <c r="B450">
        <v>76</v>
      </c>
      <c r="C450" t="s">
        <v>942</v>
      </c>
      <c r="D450">
        <v>76.364000000000004</v>
      </c>
      <c r="E450" t="str">
        <f t="shared" si="13"/>
        <v>76364</v>
      </c>
      <c r="F450" t="s">
        <v>1042</v>
      </c>
      <c r="G450" t="str">
        <f t="shared" ref="G450:G513" si="14">_xlfn.CONCAT(F450,", ",C450,", ",E450)</f>
        <v>Jamundí, Valle del Cauca, 76364</v>
      </c>
    </row>
    <row r="451" spans="1:7" x14ac:dyDescent="0.25">
      <c r="A451" t="s">
        <v>5</v>
      </c>
      <c r="B451">
        <v>5</v>
      </c>
      <c r="C451" t="s">
        <v>6</v>
      </c>
      <c r="D451">
        <v>5.3639999999999999</v>
      </c>
      <c r="E451" t="str">
        <f t="shared" ref="E451:E514" si="15">SUBSTITUTE(D451, ".", "",1)</f>
        <v>5364</v>
      </c>
      <c r="F451" t="s">
        <v>1041</v>
      </c>
      <c r="G451" t="str">
        <f t="shared" si="14"/>
        <v>Jardín, Antioquia, 5364</v>
      </c>
    </row>
    <row r="452" spans="1:7" x14ac:dyDescent="0.25">
      <c r="A452" t="s">
        <v>17</v>
      </c>
      <c r="B452">
        <v>15</v>
      </c>
      <c r="C452" t="s">
        <v>18</v>
      </c>
      <c r="D452">
        <v>15.367000000000001</v>
      </c>
      <c r="E452" t="str">
        <f t="shared" si="15"/>
        <v>15367</v>
      </c>
      <c r="F452" t="s">
        <v>225</v>
      </c>
      <c r="G452" t="str">
        <f t="shared" si="14"/>
        <v>Jenesano, Boyacá, 15367</v>
      </c>
    </row>
    <row r="453" spans="1:7" x14ac:dyDescent="0.25">
      <c r="A453" t="s">
        <v>5</v>
      </c>
      <c r="B453">
        <v>5</v>
      </c>
      <c r="C453" t="s">
        <v>6</v>
      </c>
      <c r="D453">
        <v>5.3680000000000003</v>
      </c>
      <c r="E453" t="str">
        <f t="shared" si="15"/>
        <v>5368</v>
      </c>
      <c r="F453" t="s">
        <v>73</v>
      </c>
      <c r="G453" t="str">
        <f t="shared" si="14"/>
        <v>Jericó, Antioquia, 5368</v>
      </c>
    </row>
    <row r="454" spans="1:7" x14ac:dyDescent="0.25">
      <c r="A454" t="s">
        <v>17</v>
      </c>
      <c r="B454">
        <v>15</v>
      </c>
      <c r="C454" t="s">
        <v>18</v>
      </c>
      <c r="D454">
        <v>15.368</v>
      </c>
      <c r="E454" t="str">
        <f t="shared" si="15"/>
        <v>15368</v>
      </c>
      <c r="F454" t="s">
        <v>73</v>
      </c>
      <c r="G454" t="str">
        <f t="shared" si="14"/>
        <v>Jericó, Boyacá, 15368</v>
      </c>
    </row>
    <row r="455" spans="1:7" x14ac:dyDescent="0.25">
      <c r="A455" t="s">
        <v>17</v>
      </c>
      <c r="B455">
        <v>25</v>
      </c>
      <c r="C455" t="s">
        <v>409</v>
      </c>
      <c r="D455">
        <v>25.367999999999999</v>
      </c>
      <c r="E455" t="str">
        <f t="shared" si="15"/>
        <v>25368</v>
      </c>
      <c r="F455" t="s">
        <v>445</v>
      </c>
      <c r="G455" t="str">
        <f t="shared" si="14"/>
        <v>Jerusalén, Cundinamarca, 25368</v>
      </c>
    </row>
    <row r="456" spans="1:7" x14ac:dyDescent="0.25">
      <c r="A456" t="s">
        <v>17</v>
      </c>
      <c r="B456">
        <v>68</v>
      </c>
      <c r="C456" t="s">
        <v>104</v>
      </c>
      <c r="D456">
        <v>68.367999999999995</v>
      </c>
      <c r="E456" t="str">
        <f t="shared" si="15"/>
        <v>68368</v>
      </c>
      <c r="F456" t="s">
        <v>709</v>
      </c>
      <c r="G456" t="str">
        <f t="shared" si="14"/>
        <v>Jesús María, Santander, 68368</v>
      </c>
    </row>
    <row r="457" spans="1:7" x14ac:dyDescent="0.25">
      <c r="A457" t="s">
        <v>17</v>
      </c>
      <c r="B457">
        <v>68</v>
      </c>
      <c r="C457" t="s">
        <v>104</v>
      </c>
      <c r="D457">
        <v>68.37</v>
      </c>
      <c r="E457" t="str">
        <f t="shared" si="15"/>
        <v>6837</v>
      </c>
      <c r="F457" t="s">
        <v>710</v>
      </c>
      <c r="G457" t="str">
        <f t="shared" si="14"/>
        <v>Jordán, Santander, 6837</v>
      </c>
    </row>
    <row r="458" spans="1:7" x14ac:dyDescent="0.25">
      <c r="A458" t="s">
        <v>56</v>
      </c>
      <c r="B458">
        <v>8</v>
      </c>
      <c r="C458" t="s">
        <v>137</v>
      </c>
      <c r="D458">
        <v>8.3719999999999999</v>
      </c>
      <c r="E458" t="str">
        <f t="shared" si="15"/>
        <v>8372</v>
      </c>
      <c r="F458" t="s">
        <v>857</v>
      </c>
      <c r="G458" t="str">
        <f t="shared" si="14"/>
        <v>Juan de Acosta, Atlántico, 8372</v>
      </c>
    </row>
    <row r="459" spans="1:7" x14ac:dyDescent="0.25">
      <c r="A459" t="s">
        <v>17</v>
      </c>
      <c r="B459">
        <v>25</v>
      </c>
      <c r="C459" t="s">
        <v>409</v>
      </c>
      <c r="D459">
        <v>25.372</v>
      </c>
      <c r="E459" t="str">
        <f t="shared" si="15"/>
        <v>25372</v>
      </c>
      <c r="F459" t="s">
        <v>446</v>
      </c>
      <c r="G459" t="str">
        <f t="shared" si="14"/>
        <v>Junín, Cundinamarca, 25372</v>
      </c>
    </row>
    <row r="460" spans="1:7" x14ac:dyDescent="0.25">
      <c r="A460" t="s">
        <v>62</v>
      </c>
      <c r="B460">
        <v>27</v>
      </c>
      <c r="C460" t="s">
        <v>63</v>
      </c>
      <c r="D460">
        <v>27.372</v>
      </c>
      <c r="E460" t="str">
        <f t="shared" si="15"/>
        <v>27372</v>
      </c>
      <c r="F460" t="s">
        <v>514</v>
      </c>
      <c r="G460" t="str">
        <f t="shared" si="14"/>
        <v>Juradó, Chocó, 27372</v>
      </c>
    </row>
    <row r="461" spans="1:7" x14ac:dyDescent="0.25">
      <c r="A461" t="s">
        <v>56</v>
      </c>
      <c r="B461">
        <v>23</v>
      </c>
      <c r="C461" t="s">
        <v>57</v>
      </c>
      <c r="D461">
        <v>23.35</v>
      </c>
      <c r="E461" t="str">
        <f t="shared" si="15"/>
        <v>2335</v>
      </c>
      <c r="F461" t="s">
        <v>1051</v>
      </c>
      <c r="G461" t="str">
        <f t="shared" si="14"/>
        <v>La Apartada, Córdoba, 2335</v>
      </c>
    </row>
    <row r="462" spans="1:7" x14ac:dyDescent="0.25">
      <c r="A462" t="s">
        <v>316</v>
      </c>
      <c r="B462">
        <v>41</v>
      </c>
      <c r="C462" t="s">
        <v>525</v>
      </c>
      <c r="D462">
        <v>41.378</v>
      </c>
      <c r="E462" t="str">
        <f t="shared" si="15"/>
        <v>41378</v>
      </c>
      <c r="F462" t="s">
        <v>541</v>
      </c>
      <c r="G462" t="str">
        <f t="shared" si="14"/>
        <v>La Argentina, Huila, 41378</v>
      </c>
    </row>
    <row r="463" spans="1:7" x14ac:dyDescent="0.25">
      <c r="A463" t="s">
        <v>17</v>
      </c>
      <c r="B463">
        <v>68</v>
      </c>
      <c r="C463" t="s">
        <v>104</v>
      </c>
      <c r="D463">
        <v>68.376999999999995</v>
      </c>
      <c r="E463" t="str">
        <f t="shared" si="15"/>
        <v>68377</v>
      </c>
      <c r="F463" t="s">
        <v>711</v>
      </c>
      <c r="G463" t="str">
        <f t="shared" si="14"/>
        <v>La Belleza, Santander, 68377</v>
      </c>
    </row>
    <row r="464" spans="1:7" x14ac:dyDescent="0.25">
      <c r="A464" t="s">
        <v>17</v>
      </c>
      <c r="B464">
        <v>25</v>
      </c>
      <c r="C464" t="s">
        <v>409</v>
      </c>
      <c r="D464">
        <v>25.376999999999999</v>
      </c>
      <c r="E464" t="str">
        <f t="shared" si="15"/>
        <v>25377</v>
      </c>
      <c r="F464" t="s">
        <v>447</v>
      </c>
      <c r="G464" t="str">
        <f t="shared" si="14"/>
        <v>La Calera, Cundinamarca, 25377</v>
      </c>
    </row>
    <row r="465" spans="1:7" x14ac:dyDescent="0.25">
      <c r="A465" t="s">
        <v>17</v>
      </c>
      <c r="B465">
        <v>15</v>
      </c>
      <c r="C465" t="s">
        <v>18</v>
      </c>
      <c r="D465">
        <v>15.38</v>
      </c>
      <c r="E465" t="str">
        <f t="shared" si="15"/>
        <v>1538</v>
      </c>
      <c r="F465" t="s">
        <v>227</v>
      </c>
      <c r="G465" t="str">
        <f t="shared" si="14"/>
        <v>La Capilla, Boyacá, 1538</v>
      </c>
    </row>
    <row r="466" spans="1:7" x14ac:dyDescent="0.25">
      <c r="A466" t="s">
        <v>5</v>
      </c>
      <c r="B466">
        <v>5</v>
      </c>
      <c r="C466" t="s">
        <v>6</v>
      </c>
      <c r="D466">
        <v>5.3760000000000003</v>
      </c>
      <c r="E466" t="str">
        <f t="shared" si="15"/>
        <v>5376</v>
      </c>
      <c r="F466" t="s">
        <v>74</v>
      </c>
      <c r="G466" t="str">
        <f t="shared" si="14"/>
        <v>La Ceja, Antioquia, 5376</v>
      </c>
    </row>
    <row r="467" spans="1:7" x14ac:dyDescent="0.25">
      <c r="A467" t="s">
        <v>5</v>
      </c>
      <c r="B467">
        <v>66</v>
      </c>
      <c r="C467" t="s">
        <v>308</v>
      </c>
      <c r="D467">
        <v>66.382999999999996</v>
      </c>
      <c r="E467" t="str">
        <f t="shared" si="15"/>
        <v>66383</v>
      </c>
      <c r="F467" t="s">
        <v>672</v>
      </c>
      <c r="G467" t="str">
        <f t="shared" si="14"/>
        <v>La Celia, Risaralda, 66383</v>
      </c>
    </row>
    <row r="468" spans="1:7" x14ac:dyDescent="0.25">
      <c r="A468" t="s">
        <v>316</v>
      </c>
      <c r="B468">
        <v>91</v>
      </c>
      <c r="C468" t="s">
        <v>822</v>
      </c>
      <c r="D468">
        <v>91.405000000000001</v>
      </c>
      <c r="E468" t="str">
        <f t="shared" si="15"/>
        <v>91405</v>
      </c>
      <c r="F468" t="s">
        <v>825</v>
      </c>
      <c r="G468" t="str">
        <f t="shared" si="14"/>
        <v>La Chorrera, Amazonas, 91405</v>
      </c>
    </row>
    <row r="469" spans="1:7" x14ac:dyDescent="0.25">
      <c r="A469" t="s">
        <v>62</v>
      </c>
      <c r="B469">
        <v>52</v>
      </c>
      <c r="C469" t="s">
        <v>84</v>
      </c>
      <c r="D469">
        <v>52.378</v>
      </c>
      <c r="E469" t="str">
        <f t="shared" si="15"/>
        <v>52378</v>
      </c>
      <c r="F469" t="s">
        <v>633</v>
      </c>
      <c r="G469" t="str">
        <f t="shared" si="14"/>
        <v>La Cruz, Nariño, 52378</v>
      </c>
    </row>
    <row r="470" spans="1:7" x14ac:dyDescent="0.25">
      <c r="A470" t="s">
        <v>62</v>
      </c>
      <c r="B470">
        <v>76</v>
      </c>
      <c r="C470" t="s">
        <v>942</v>
      </c>
      <c r="D470">
        <v>76.376999999999995</v>
      </c>
      <c r="E470" t="str">
        <f t="shared" si="15"/>
        <v>76377</v>
      </c>
      <c r="F470" t="s">
        <v>1000</v>
      </c>
      <c r="G470" t="str">
        <f t="shared" si="14"/>
        <v>La Cumbre, Valle del Cauca, 76377</v>
      </c>
    </row>
    <row r="471" spans="1:7" x14ac:dyDescent="0.25">
      <c r="A471" t="s">
        <v>5</v>
      </c>
      <c r="B471">
        <v>17</v>
      </c>
      <c r="C471" t="s">
        <v>34</v>
      </c>
      <c r="D471">
        <v>17.38</v>
      </c>
      <c r="E471" t="str">
        <f t="shared" si="15"/>
        <v>1738</v>
      </c>
      <c r="F471" t="s">
        <v>297</v>
      </c>
      <c r="G471" t="str">
        <f t="shared" si="14"/>
        <v>La Dorada, Caldas, 1738</v>
      </c>
    </row>
    <row r="472" spans="1:7" x14ac:dyDescent="0.25">
      <c r="A472" t="s">
        <v>17</v>
      </c>
      <c r="B472">
        <v>54</v>
      </c>
      <c r="C472" t="s">
        <v>939</v>
      </c>
      <c r="D472">
        <v>54.384999999999998</v>
      </c>
      <c r="E472" t="str">
        <f t="shared" si="15"/>
        <v>54385</v>
      </c>
      <c r="F472" t="s">
        <v>978</v>
      </c>
      <c r="G472" t="str">
        <f t="shared" si="14"/>
        <v>La Esperanza, Norte de Santander, 54385</v>
      </c>
    </row>
    <row r="473" spans="1:7" x14ac:dyDescent="0.25">
      <c r="A473" t="s">
        <v>5</v>
      </c>
      <c r="B473">
        <v>5</v>
      </c>
      <c r="C473" t="s">
        <v>6</v>
      </c>
      <c r="D473">
        <v>5.38</v>
      </c>
      <c r="E473" t="str">
        <f t="shared" si="15"/>
        <v>538</v>
      </c>
      <c r="F473" t="s">
        <v>75</v>
      </c>
      <c r="G473" t="str">
        <f t="shared" si="14"/>
        <v>La Estrella, Antioquia, 538</v>
      </c>
    </row>
    <row r="474" spans="1:7" x14ac:dyDescent="0.25">
      <c r="A474" t="s">
        <v>62</v>
      </c>
      <c r="B474">
        <v>52</v>
      </c>
      <c r="C474" t="s">
        <v>84</v>
      </c>
      <c r="D474">
        <v>52.381</v>
      </c>
      <c r="E474" t="str">
        <f t="shared" si="15"/>
        <v>52381</v>
      </c>
      <c r="F474" t="s">
        <v>634</v>
      </c>
      <c r="G474" t="str">
        <f t="shared" si="14"/>
        <v>La Florida, Nariño, 52381</v>
      </c>
    </row>
    <row r="475" spans="1:7" x14ac:dyDescent="0.25">
      <c r="A475" t="s">
        <v>56</v>
      </c>
      <c r="B475">
        <v>20</v>
      </c>
      <c r="C475" t="s">
        <v>362</v>
      </c>
      <c r="D475">
        <v>20.382999999999999</v>
      </c>
      <c r="E475" t="str">
        <f t="shared" si="15"/>
        <v>20383</v>
      </c>
      <c r="F475" t="s">
        <v>376</v>
      </c>
      <c r="G475" t="str">
        <f t="shared" si="14"/>
        <v>La Gloria, Cesar, 20383</v>
      </c>
    </row>
    <row r="476" spans="1:7" x14ac:dyDescent="0.25">
      <c r="A476" t="s">
        <v>117</v>
      </c>
      <c r="B476">
        <v>94</v>
      </c>
      <c r="C476" t="s">
        <v>831</v>
      </c>
      <c r="D476">
        <v>94.885000000000005</v>
      </c>
      <c r="E476" t="str">
        <f t="shared" si="15"/>
        <v>94885</v>
      </c>
      <c r="F476" t="s">
        <v>837</v>
      </c>
      <c r="G476" t="str">
        <f t="shared" si="14"/>
        <v>La Guadalupe, Guainía, 94885</v>
      </c>
    </row>
    <row r="477" spans="1:7" x14ac:dyDescent="0.25">
      <c r="A477" t="s">
        <v>56</v>
      </c>
      <c r="B477">
        <v>20</v>
      </c>
      <c r="C477" t="s">
        <v>362</v>
      </c>
      <c r="D477">
        <v>20.399999999999999</v>
      </c>
      <c r="E477" t="str">
        <f t="shared" si="15"/>
        <v>204</v>
      </c>
      <c r="F477" t="s">
        <v>892</v>
      </c>
      <c r="G477" t="str">
        <f t="shared" si="14"/>
        <v>La Jagua de Ibirico, Cesar, 204</v>
      </c>
    </row>
    <row r="478" spans="1:7" x14ac:dyDescent="0.25">
      <c r="A478" t="s">
        <v>56</v>
      </c>
      <c r="B478">
        <v>44</v>
      </c>
      <c r="C478" t="s">
        <v>559</v>
      </c>
      <c r="D478">
        <v>44.42</v>
      </c>
      <c r="E478" t="str">
        <f t="shared" si="15"/>
        <v>4442</v>
      </c>
      <c r="F478" t="s">
        <v>891</v>
      </c>
      <c r="G478" t="str">
        <f t="shared" si="14"/>
        <v>La Jagua del Pilar, La Guajira, 4442</v>
      </c>
    </row>
    <row r="479" spans="1:7" x14ac:dyDescent="0.25">
      <c r="A479" t="s">
        <v>62</v>
      </c>
      <c r="B479">
        <v>52</v>
      </c>
      <c r="C479" t="s">
        <v>84</v>
      </c>
      <c r="D479">
        <v>52.384999999999998</v>
      </c>
      <c r="E479" t="str">
        <f t="shared" si="15"/>
        <v>52385</v>
      </c>
      <c r="F479" t="s">
        <v>635</v>
      </c>
      <c r="G479" t="str">
        <f t="shared" si="14"/>
        <v>La Llanada, Nariño, 52385</v>
      </c>
    </row>
    <row r="480" spans="1:7" x14ac:dyDescent="0.25">
      <c r="A480" t="s">
        <v>117</v>
      </c>
      <c r="B480">
        <v>50</v>
      </c>
      <c r="C480" t="s">
        <v>118</v>
      </c>
      <c r="D480">
        <v>50.35</v>
      </c>
      <c r="E480" t="str">
        <f t="shared" si="15"/>
        <v>5035</v>
      </c>
      <c r="F480" t="s">
        <v>603</v>
      </c>
      <c r="G480" t="str">
        <f t="shared" si="14"/>
        <v>La Macarena, Meta, 5035</v>
      </c>
    </row>
    <row r="481" spans="1:7" x14ac:dyDescent="0.25">
      <c r="A481" t="s">
        <v>5</v>
      </c>
      <c r="B481">
        <v>17</v>
      </c>
      <c r="C481" t="s">
        <v>34</v>
      </c>
      <c r="D481">
        <v>17.388000000000002</v>
      </c>
      <c r="E481" t="str">
        <f t="shared" si="15"/>
        <v>17388</v>
      </c>
      <c r="F481" t="s">
        <v>298</v>
      </c>
      <c r="G481" t="str">
        <f t="shared" si="14"/>
        <v>La Merced, Caldas, 17388</v>
      </c>
    </row>
    <row r="482" spans="1:7" x14ac:dyDescent="0.25">
      <c r="A482" t="s">
        <v>17</v>
      </c>
      <c r="B482">
        <v>25</v>
      </c>
      <c r="C482" t="s">
        <v>409</v>
      </c>
      <c r="D482">
        <v>25.385999999999999</v>
      </c>
      <c r="E482" t="str">
        <f t="shared" si="15"/>
        <v>25386</v>
      </c>
      <c r="F482" t="s">
        <v>448</v>
      </c>
      <c r="G482" t="str">
        <f t="shared" si="14"/>
        <v>La Mesa, Cundinamarca, 25386</v>
      </c>
    </row>
    <row r="483" spans="1:7" x14ac:dyDescent="0.25">
      <c r="A483" t="s">
        <v>316</v>
      </c>
      <c r="B483">
        <v>18</v>
      </c>
      <c r="C483" t="s">
        <v>317</v>
      </c>
      <c r="D483">
        <v>18.41</v>
      </c>
      <c r="E483" t="str">
        <f t="shared" si="15"/>
        <v>1841</v>
      </c>
      <c r="F483" t="s">
        <v>1039</v>
      </c>
      <c r="G483" t="str">
        <f t="shared" si="14"/>
        <v>La Montañita, Caquetá, 1841</v>
      </c>
    </row>
    <row r="484" spans="1:7" x14ac:dyDescent="0.25">
      <c r="A484" t="s">
        <v>17</v>
      </c>
      <c r="B484">
        <v>25</v>
      </c>
      <c r="C484" t="s">
        <v>409</v>
      </c>
      <c r="D484">
        <v>25.393999999999998</v>
      </c>
      <c r="E484" t="str">
        <f t="shared" si="15"/>
        <v>25394</v>
      </c>
      <c r="F484" t="s">
        <v>449</v>
      </c>
      <c r="G484" t="str">
        <f t="shared" si="14"/>
        <v>La Palma, Cundinamarca, 25394</v>
      </c>
    </row>
    <row r="485" spans="1:7" x14ac:dyDescent="0.25">
      <c r="A485" t="s">
        <v>56</v>
      </c>
      <c r="B485">
        <v>20</v>
      </c>
      <c r="C485" t="s">
        <v>362</v>
      </c>
      <c r="D485">
        <v>20.620999999999999</v>
      </c>
      <c r="E485" t="str">
        <f t="shared" si="15"/>
        <v>20621</v>
      </c>
      <c r="F485" t="s">
        <v>381</v>
      </c>
      <c r="G485" t="str">
        <f t="shared" si="14"/>
        <v>La Paz, Cesar, 20621</v>
      </c>
    </row>
    <row r="486" spans="1:7" x14ac:dyDescent="0.25">
      <c r="A486" t="s">
        <v>17</v>
      </c>
      <c r="B486">
        <v>68</v>
      </c>
      <c r="C486" t="s">
        <v>104</v>
      </c>
      <c r="D486">
        <v>68.397000000000006</v>
      </c>
      <c r="E486" t="str">
        <f t="shared" si="15"/>
        <v>68397</v>
      </c>
      <c r="F486" t="s">
        <v>381</v>
      </c>
      <c r="G486" t="str">
        <f t="shared" si="14"/>
        <v>La Paz, Santander, 68397</v>
      </c>
    </row>
    <row r="487" spans="1:7" x14ac:dyDescent="0.25">
      <c r="A487" t="s">
        <v>316</v>
      </c>
      <c r="B487">
        <v>91</v>
      </c>
      <c r="C487" t="s">
        <v>822</v>
      </c>
      <c r="D487">
        <v>91.406999999999996</v>
      </c>
      <c r="E487" t="str">
        <f t="shared" si="15"/>
        <v>91407</v>
      </c>
      <c r="F487" t="s">
        <v>826</v>
      </c>
      <c r="G487" t="str">
        <f t="shared" si="14"/>
        <v>La Pedrera, Amazonas, 91407</v>
      </c>
    </row>
    <row r="488" spans="1:7" x14ac:dyDescent="0.25">
      <c r="A488" t="s">
        <v>17</v>
      </c>
      <c r="B488">
        <v>25</v>
      </c>
      <c r="C488" t="s">
        <v>409</v>
      </c>
      <c r="D488">
        <v>25.398</v>
      </c>
      <c r="E488" t="str">
        <f t="shared" si="15"/>
        <v>25398</v>
      </c>
      <c r="F488" t="s">
        <v>450</v>
      </c>
      <c r="G488" t="str">
        <f t="shared" si="14"/>
        <v>La Peña, Cundinamarca, 25398</v>
      </c>
    </row>
    <row r="489" spans="1:7" x14ac:dyDescent="0.25">
      <c r="A489" t="s">
        <v>5</v>
      </c>
      <c r="B489">
        <v>5</v>
      </c>
      <c r="C489" t="s">
        <v>6</v>
      </c>
      <c r="D489">
        <v>5.39</v>
      </c>
      <c r="E489" t="str">
        <f t="shared" si="15"/>
        <v>539</v>
      </c>
      <c r="F489" t="s">
        <v>76</v>
      </c>
      <c r="G489" t="str">
        <f t="shared" si="14"/>
        <v>La Pintada, Antioquia, 539</v>
      </c>
    </row>
    <row r="490" spans="1:7" x14ac:dyDescent="0.25">
      <c r="A490" t="s">
        <v>316</v>
      </c>
      <c r="B490">
        <v>41</v>
      </c>
      <c r="C490" t="s">
        <v>525</v>
      </c>
      <c r="D490">
        <v>41.396000000000001</v>
      </c>
      <c r="E490" t="str">
        <f t="shared" si="15"/>
        <v>41396</v>
      </c>
      <c r="F490" t="s">
        <v>542</v>
      </c>
      <c r="G490" t="str">
        <f t="shared" si="14"/>
        <v>La Plata, Huila, 41396</v>
      </c>
    </row>
    <row r="491" spans="1:7" x14ac:dyDescent="0.25">
      <c r="A491" t="s">
        <v>17</v>
      </c>
      <c r="B491">
        <v>54</v>
      </c>
      <c r="C491" t="s">
        <v>939</v>
      </c>
      <c r="D491">
        <v>54.398000000000003</v>
      </c>
      <c r="E491" t="str">
        <f t="shared" si="15"/>
        <v>54398</v>
      </c>
      <c r="F491" t="s">
        <v>973</v>
      </c>
      <c r="G491" t="str">
        <f t="shared" si="14"/>
        <v>La Playa, Norte de Santander, 54398</v>
      </c>
    </row>
    <row r="492" spans="1:7" x14ac:dyDescent="0.25">
      <c r="A492" t="s">
        <v>117</v>
      </c>
      <c r="B492">
        <v>99</v>
      </c>
      <c r="C492" t="s">
        <v>848</v>
      </c>
      <c r="D492">
        <v>99.524000000000001</v>
      </c>
      <c r="E492" t="str">
        <f t="shared" si="15"/>
        <v>99524</v>
      </c>
      <c r="F492" t="s">
        <v>850</v>
      </c>
      <c r="G492" t="str">
        <f t="shared" si="14"/>
        <v>La Primavera, Vichada, 99524</v>
      </c>
    </row>
    <row r="493" spans="1:7" x14ac:dyDescent="0.25">
      <c r="A493" t="s">
        <v>117</v>
      </c>
      <c r="B493">
        <v>85</v>
      </c>
      <c r="C493" t="s">
        <v>802</v>
      </c>
      <c r="D493">
        <v>85.135999999999996</v>
      </c>
      <c r="E493" t="str">
        <f t="shared" si="15"/>
        <v>85136</v>
      </c>
      <c r="F493" t="s">
        <v>807</v>
      </c>
      <c r="G493" t="str">
        <f t="shared" si="14"/>
        <v>La Salina, Casanare, 85136</v>
      </c>
    </row>
    <row r="494" spans="1:7" x14ac:dyDescent="0.25">
      <c r="A494" t="s">
        <v>62</v>
      </c>
      <c r="B494">
        <v>19</v>
      </c>
      <c r="C494" t="s">
        <v>327</v>
      </c>
      <c r="D494">
        <v>19.391999999999999</v>
      </c>
      <c r="E494" t="str">
        <f t="shared" si="15"/>
        <v>19392</v>
      </c>
      <c r="F494" t="s">
        <v>341</v>
      </c>
      <c r="G494" t="str">
        <f t="shared" si="14"/>
        <v>La Sierra, Cauca, 19392</v>
      </c>
    </row>
    <row r="495" spans="1:7" x14ac:dyDescent="0.25">
      <c r="A495" t="s">
        <v>5</v>
      </c>
      <c r="B495">
        <v>63</v>
      </c>
      <c r="C495" t="s">
        <v>660</v>
      </c>
      <c r="D495">
        <v>63.401000000000003</v>
      </c>
      <c r="E495" t="str">
        <f t="shared" si="15"/>
        <v>63401</v>
      </c>
      <c r="F495" t="s">
        <v>663</v>
      </c>
      <c r="G495" t="str">
        <f t="shared" si="14"/>
        <v>La Tebaida, Quindío, 63401</v>
      </c>
    </row>
    <row r="496" spans="1:7" x14ac:dyDescent="0.25">
      <c r="A496" t="s">
        <v>62</v>
      </c>
      <c r="B496">
        <v>52</v>
      </c>
      <c r="C496" t="s">
        <v>84</v>
      </c>
      <c r="D496">
        <v>52.39</v>
      </c>
      <c r="E496" t="str">
        <f t="shared" si="15"/>
        <v>5239</v>
      </c>
      <c r="F496" t="s">
        <v>636</v>
      </c>
      <c r="G496" t="str">
        <f t="shared" si="14"/>
        <v>La Tola, Nariño, 5239</v>
      </c>
    </row>
    <row r="497" spans="1:7" x14ac:dyDescent="0.25">
      <c r="A497" t="s">
        <v>5</v>
      </c>
      <c r="B497">
        <v>5</v>
      </c>
      <c r="C497" t="s">
        <v>6</v>
      </c>
      <c r="D497">
        <v>5.4</v>
      </c>
      <c r="E497" t="str">
        <f t="shared" si="15"/>
        <v>54</v>
      </c>
      <c r="F497" t="s">
        <v>77</v>
      </c>
      <c r="G497" t="str">
        <f t="shared" si="14"/>
        <v>La Unión, Antioquia, 54</v>
      </c>
    </row>
    <row r="498" spans="1:7" x14ac:dyDescent="0.25">
      <c r="A498" t="s">
        <v>62</v>
      </c>
      <c r="B498">
        <v>52</v>
      </c>
      <c r="C498" t="s">
        <v>84</v>
      </c>
      <c r="D498">
        <v>52.399000000000001</v>
      </c>
      <c r="E498" t="str">
        <f t="shared" si="15"/>
        <v>52399</v>
      </c>
      <c r="F498" t="s">
        <v>77</v>
      </c>
      <c r="G498" t="str">
        <f t="shared" si="14"/>
        <v>La Unión, Nariño, 52399</v>
      </c>
    </row>
    <row r="499" spans="1:7" x14ac:dyDescent="0.25">
      <c r="A499" t="s">
        <v>56</v>
      </c>
      <c r="B499">
        <v>70</v>
      </c>
      <c r="C499" t="s">
        <v>356</v>
      </c>
      <c r="D499">
        <v>70.400000000000006</v>
      </c>
      <c r="E499" t="str">
        <f t="shared" si="15"/>
        <v>704</v>
      </c>
      <c r="F499" t="s">
        <v>77</v>
      </c>
      <c r="G499" t="str">
        <f t="shared" si="14"/>
        <v>La Unión, Sucre, 704</v>
      </c>
    </row>
    <row r="500" spans="1:7" x14ac:dyDescent="0.25">
      <c r="A500" t="s">
        <v>62</v>
      </c>
      <c r="B500">
        <v>76</v>
      </c>
      <c r="C500" t="s">
        <v>942</v>
      </c>
      <c r="D500">
        <v>76.400000000000006</v>
      </c>
      <c r="E500" t="str">
        <f t="shared" si="15"/>
        <v>764</v>
      </c>
      <c r="F500" t="s">
        <v>77</v>
      </c>
      <c r="G500" t="str">
        <f t="shared" si="14"/>
        <v>La Unión, Valle del Cauca, 764</v>
      </c>
    </row>
    <row r="501" spans="1:7" x14ac:dyDescent="0.25">
      <c r="A501" t="s">
        <v>17</v>
      </c>
      <c r="B501">
        <v>15</v>
      </c>
      <c r="C501" t="s">
        <v>18</v>
      </c>
      <c r="D501">
        <v>15.403</v>
      </c>
      <c r="E501" t="str">
        <f t="shared" si="15"/>
        <v>15403</v>
      </c>
      <c r="F501" t="s">
        <v>1055</v>
      </c>
      <c r="G501" t="str">
        <f t="shared" si="14"/>
        <v>La Uvita, Boyacá, 15403</v>
      </c>
    </row>
    <row r="502" spans="1:7" x14ac:dyDescent="0.25">
      <c r="A502" t="s">
        <v>62</v>
      </c>
      <c r="B502">
        <v>19</v>
      </c>
      <c r="C502" t="s">
        <v>327</v>
      </c>
      <c r="D502">
        <v>19.396999999999998</v>
      </c>
      <c r="E502" t="str">
        <f t="shared" si="15"/>
        <v>19397</v>
      </c>
      <c r="F502" t="s">
        <v>342</v>
      </c>
      <c r="G502" t="str">
        <f t="shared" si="14"/>
        <v>La Vega, Cauca, 19397</v>
      </c>
    </row>
    <row r="503" spans="1:7" x14ac:dyDescent="0.25">
      <c r="A503" t="s">
        <v>17</v>
      </c>
      <c r="B503">
        <v>25</v>
      </c>
      <c r="C503" t="s">
        <v>409</v>
      </c>
      <c r="D503">
        <v>25.402000000000001</v>
      </c>
      <c r="E503" t="str">
        <f t="shared" si="15"/>
        <v>25402</v>
      </c>
      <c r="F503" t="s">
        <v>342</v>
      </c>
      <c r="G503" t="str">
        <f t="shared" si="14"/>
        <v>La Vega, Cundinamarca, 25402</v>
      </c>
    </row>
    <row r="504" spans="1:7" x14ac:dyDescent="0.25">
      <c r="A504" t="s">
        <v>316</v>
      </c>
      <c r="B504">
        <v>91</v>
      </c>
      <c r="C504" t="s">
        <v>822</v>
      </c>
      <c r="D504">
        <v>91.43</v>
      </c>
      <c r="E504" t="str">
        <f t="shared" si="15"/>
        <v>9143</v>
      </c>
      <c r="F504" t="s">
        <v>228</v>
      </c>
      <c r="G504" t="str">
        <f t="shared" si="14"/>
        <v>La Victoria, Amazonas, 9143</v>
      </c>
    </row>
    <row r="505" spans="1:7" x14ac:dyDescent="0.25">
      <c r="A505" t="s">
        <v>17</v>
      </c>
      <c r="B505">
        <v>15</v>
      </c>
      <c r="C505" t="s">
        <v>18</v>
      </c>
      <c r="D505">
        <v>15.401</v>
      </c>
      <c r="E505" t="str">
        <f t="shared" si="15"/>
        <v>15401</v>
      </c>
      <c r="F505" t="s">
        <v>228</v>
      </c>
      <c r="G505" t="str">
        <f t="shared" si="14"/>
        <v>La Victoria, Boyacá, 15401</v>
      </c>
    </row>
    <row r="506" spans="1:7" x14ac:dyDescent="0.25">
      <c r="A506" t="s">
        <v>62</v>
      </c>
      <c r="B506">
        <v>76</v>
      </c>
      <c r="C506" t="s">
        <v>942</v>
      </c>
      <c r="D506">
        <v>76.403000000000006</v>
      </c>
      <c r="E506" t="str">
        <f t="shared" si="15"/>
        <v>76403</v>
      </c>
      <c r="F506" t="s">
        <v>228</v>
      </c>
      <c r="G506" t="str">
        <f t="shared" si="14"/>
        <v>La Victoria, Valle del Cauca, 76403</v>
      </c>
    </row>
    <row r="507" spans="1:7" x14ac:dyDescent="0.25">
      <c r="A507" t="s">
        <v>5</v>
      </c>
      <c r="B507">
        <v>66</v>
      </c>
      <c r="C507" t="s">
        <v>308</v>
      </c>
      <c r="D507">
        <v>66.400000000000006</v>
      </c>
      <c r="E507" t="str">
        <f t="shared" si="15"/>
        <v>664</v>
      </c>
      <c r="F507" t="s">
        <v>673</v>
      </c>
      <c r="G507" t="str">
        <f t="shared" si="14"/>
        <v>La Virginia, Risaralda, 664</v>
      </c>
    </row>
    <row r="508" spans="1:7" x14ac:dyDescent="0.25">
      <c r="A508" t="s">
        <v>17</v>
      </c>
      <c r="B508">
        <v>54</v>
      </c>
      <c r="C508" t="s">
        <v>939</v>
      </c>
      <c r="D508">
        <v>54.377000000000002</v>
      </c>
      <c r="E508" t="str">
        <f t="shared" si="15"/>
        <v>54377</v>
      </c>
      <c r="F508" t="s">
        <v>994</v>
      </c>
      <c r="G508" t="str">
        <f t="shared" si="14"/>
        <v>Labateca, Norte de Santander, 54377</v>
      </c>
    </row>
    <row r="509" spans="1:7" x14ac:dyDescent="0.25">
      <c r="A509" t="s">
        <v>17</v>
      </c>
      <c r="B509">
        <v>15</v>
      </c>
      <c r="C509" t="s">
        <v>18</v>
      </c>
      <c r="D509">
        <v>15.377000000000001</v>
      </c>
      <c r="E509" t="str">
        <f t="shared" si="15"/>
        <v>15377</v>
      </c>
      <c r="F509" t="s">
        <v>226</v>
      </c>
      <c r="G509" t="str">
        <f t="shared" si="14"/>
        <v>Labranzagrande, Boyacá, 15377</v>
      </c>
    </row>
    <row r="510" spans="1:7" x14ac:dyDescent="0.25">
      <c r="A510" t="s">
        <v>17</v>
      </c>
      <c r="B510">
        <v>68</v>
      </c>
      <c r="C510" t="s">
        <v>104</v>
      </c>
      <c r="D510">
        <v>68.385000000000005</v>
      </c>
      <c r="E510" t="str">
        <f t="shared" si="15"/>
        <v>68385</v>
      </c>
      <c r="F510" t="s">
        <v>712</v>
      </c>
      <c r="G510" t="str">
        <f t="shared" si="14"/>
        <v>Landázuri, Santander, 68385</v>
      </c>
    </row>
    <row r="511" spans="1:7" x14ac:dyDescent="0.25">
      <c r="A511" t="s">
        <v>17</v>
      </c>
      <c r="B511">
        <v>68</v>
      </c>
      <c r="C511" t="s">
        <v>104</v>
      </c>
      <c r="D511">
        <v>68.406000000000006</v>
      </c>
      <c r="E511" t="str">
        <f t="shared" si="15"/>
        <v>68406</v>
      </c>
      <c r="F511" t="s">
        <v>713</v>
      </c>
      <c r="G511" t="str">
        <f t="shared" si="14"/>
        <v>Lebríja, Santander, 68406</v>
      </c>
    </row>
    <row r="512" spans="1:7" x14ac:dyDescent="0.25">
      <c r="A512" t="s">
        <v>316</v>
      </c>
      <c r="B512">
        <v>86</v>
      </c>
      <c r="C512" t="s">
        <v>814</v>
      </c>
      <c r="D512">
        <v>86.572999999999993</v>
      </c>
      <c r="E512" t="str">
        <f t="shared" si="15"/>
        <v>86573</v>
      </c>
      <c r="F512" t="s">
        <v>819</v>
      </c>
      <c r="G512" t="str">
        <f t="shared" si="14"/>
        <v>Leguízamo, Putumayo, 86573</v>
      </c>
    </row>
    <row r="513" spans="1:7" x14ac:dyDescent="0.25">
      <c r="A513" t="s">
        <v>62</v>
      </c>
      <c r="B513">
        <v>52</v>
      </c>
      <c r="C513" t="s">
        <v>84</v>
      </c>
      <c r="D513">
        <v>52.405000000000001</v>
      </c>
      <c r="E513" t="str">
        <f t="shared" si="15"/>
        <v>52405</v>
      </c>
      <c r="F513" t="s">
        <v>637</v>
      </c>
      <c r="G513" t="str">
        <f t="shared" si="14"/>
        <v>Leiva, Nariño, 52405</v>
      </c>
    </row>
    <row r="514" spans="1:7" x14ac:dyDescent="0.25">
      <c r="A514" t="s">
        <v>117</v>
      </c>
      <c r="B514">
        <v>50</v>
      </c>
      <c r="C514" t="s">
        <v>118</v>
      </c>
      <c r="D514">
        <v>50.4</v>
      </c>
      <c r="E514" t="str">
        <f t="shared" si="15"/>
        <v>504</v>
      </c>
      <c r="F514" t="s">
        <v>604</v>
      </c>
      <c r="G514" t="str">
        <f t="shared" ref="G514:G577" si="16">_xlfn.CONCAT(F514,", ",C514,", ",E514)</f>
        <v>Lejanías, Meta, 504</v>
      </c>
    </row>
    <row r="515" spans="1:7" x14ac:dyDescent="0.25">
      <c r="A515" t="s">
        <v>17</v>
      </c>
      <c r="B515">
        <v>25</v>
      </c>
      <c r="C515" t="s">
        <v>409</v>
      </c>
      <c r="D515">
        <v>25.407</v>
      </c>
      <c r="E515" t="str">
        <f t="shared" ref="E515:E578" si="17">SUBSTITUTE(D515, ".", "",1)</f>
        <v>25407</v>
      </c>
      <c r="F515" t="s">
        <v>451</v>
      </c>
      <c r="G515" t="str">
        <f t="shared" si="16"/>
        <v>Lenguazaque, Cundinamarca, 25407</v>
      </c>
    </row>
    <row r="516" spans="1:7" x14ac:dyDescent="0.25">
      <c r="A516" t="s">
        <v>316</v>
      </c>
      <c r="B516">
        <v>73</v>
      </c>
      <c r="C516" t="s">
        <v>757</v>
      </c>
      <c r="D516">
        <v>73.408000000000001</v>
      </c>
      <c r="E516" t="str">
        <f t="shared" si="17"/>
        <v>73408</v>
      </c>
      <c r="F516" t="s">
        <v>1050</v>
      </c>
      <c r="G516" t="str">
        <f t="shared" si="16"/>
        <v>Lérida, Tolima, 73408</v>
      </c>
    </row>
    <row r="517" spans="1:7" x14ac:dyDescent="0.25">
      <c r="A517" t="s">
        <v>316</v>
      </c>
      <c r="B517">
        <v>91</v>
      </c>
      <c r="C517" t="s">
        <v>822</v>
      </c>
      <c r="D517">
        <v>91.001000000000005</v>
      </c>
      <c r="E517" t="str">
        <f t="shared" si="17"/>
        <v>91001</v>
      </c>
      <c r="F517" t="s">
        <v>823</v>
      </c>
      <c r="G517" t="str">
        <f t="shared" si="16"/>
        <v>Leticia, Amazonas, 91001</v>
      </c>
    </row>
    <row r="518" spans="1:7" x14ac:dyDescent="0.25">
      <c r="A518" t="s">
        <v>316</v>
      </c>
      <c r="B518">
        <v>73</v>
      </c>
      <c r="C518" t="s">
        <v>757</v>
      </c>
      <c r="D518">
        <v>73.411000000000001</v>
      </c>
      <c r="E518" t="str">
        <f t="shared" si="17"/>
        <v>73411</v>
      </c>
      <c r="F518" t="s">
        <v>1045</v>
      </c>
      <c r="G518" t="str">
        <f t="shared" si="16"/>
        <v>Líbano, Tolima, 73411</v>
      </c>
    </row>
    <row r="519" spans="1:7" x14ac:dyDescent="0.25">
      <c r="A519" t="s">
        <v>5</v>
      </c>
      <c r="B519">
        <v>5</v>
      </c>
      <c r="C519" t="s">
        <v>6</v>
      </c>
      <c r="D519">
        <v>5.4109999999999996</v>
      </c>
      <c r="E519" t="str">
        <f t="shared" si="17"/>
        <v>5411</v>
      </c>
      <c r="F519" t="s">
        <v>78</v>
      </c>
      <c r="G519" t="str">
        <f t="shared" si="16"/>
        <v>Liborina, Antioquia, 5411</v>
      </c>
    </row>
    <row r="520" spans="1:7" x14ac:dyDescent="0.25">
      <c r="A520" t="s">
        <v>62</v>
      </c>
      <c r="B520">
        <v>52</v>
      </c>
      <c r="C520" t="s">
        <v>84</v>
      </c>
      <c r="D520">
        <v>52.411000000000001</v>
      </c>
      <c r="E520" t="str">
        <f t="shared" si="17"/>
        <v>52411</v>
      </c>
      <c r="F520" t="s">
        <v>638</v>
      </c>
      <c r="G520" t="str">
        <f t="shared" si="16"/>
        <v>Linares, Nariño, 52411</v>
      </c>
    </row>
    <row r="521" spans="1:7" x14ac:dyDescent="0.25">
      <c r="A521" t="s">
        <v>62</v>
      </c>
      <c r="B521">
        <v>27</v>
      </c>
      <c r="C521" t="s">
        <v>63</v>
      </c>
      <c r="D521">
        <v>27.413</v>
      </c>
      <c r="E521" t="str">
        <f t="shared" si="17"/>
        <v>27413</v>
      </c>
      <c r="F521" t="s">
        <v>515</v>
      </c>
      <c r="G521" t="str">
        <f t="shared" si="16"/>
        <v>Lloró, Chocó, 27413</v>
      </c>
    </row>
    <row r="522" spans="1:7" x14ac:dyDescent="0.25">
      <c r="A522" t="s">
        <v>62</v>
      </c>
      <c r="B522">
        <v>19</v>
      </c>
      <c r="C522" t="s">
        <v>327</v>
      </c>
      <c r="D522">
        <v>19.417999999999999</v>
      </c>
      <c r="E522" t="str">
        <f t="shared" si="17"/>
        <v>19418</v>
      </c>
      <c r="F522" t="s">
        <v>343</v>
      </c>
      <c r="G522" t="str">
        <f t="shared" si="16"/>
        <v>López, Cauca, 19418</v>
      </c>
    </row>
    <row r="523" spans="1:7" x14ac:dyDescent="0.25">
      <c r="A523" t="s">
        <v>56</v>
      </c>
      <c r="B523">
        <v>23</v>
      </c>
      <c r="C523" t="s">
        <v>57</v>
      </c>
      <c r="D523">
        <v>23.417000000000002</v>
      </c>
      <c r="E523" t="str">
        <f t="shared" si="17"/>
        <v>23417</v>
      </c>
      <c r="F523" t="s">
        <v>394</v>
      </c>
      <c r="G523" t="str">
        <f t="shared" si="16"/>
        <v>Lorica, Córdoba, 23417</v>
      </c>
    </row>
    <row r="524" spans="1:7" x14ac:dyDescent="0.25">
      <c r="A524" t="s">
        <v>62</v>
      </c>
      <c r="B524">
        <v>52</v>
      </c>
      <c r="C524" t="s">
        <v>84</v>
      </c>
      <c r="D524">
        <v>52.417999999999999</v>
      </c>
      <c r="E524" t="str">
        <f t="shared" si="17"/>
        <v>52418</v>
      </c>
      <c r="F524" t="s">
        <v>639</v>
      </c>
      <c r="G524" t="str">
        <f t="shared" si="16"/>
        <v>Los Andes, Nariño, 52418</v>
      </c>
    </row>
    <row r="525" spans="1:7" x14ac:dyDescent="0.25">
      <c r="A525" t="s">
        <v>56</v>
      </c>
      <c r="B525">
        <v>23</v>
      </c>
      <c r="C525" t="s">
        <v>57</v>
      </c>
      <c r="D525">
        <v>23.419</v>
      </c>
      <c r="E525" t="str">
        <f t="shared" si="17"/>
        <v>23419</v>
      </c>
      <c r="F525" t="s">
        <v>395</v>
      </c>
      <c r="G525" t="str">
        <f t="shared" si="16"/>
        <v>Los Córdobas, Córdoba, 23419</v>
      </c>
    </row>
    <row r="526" spans="1:7" x14ac:dyDescent="0.25">
      <c r="A526" t="s">
        <v>56</v>
      </c>
      <c r="B526">
        <v>70</v>
      </c>
      <c r="C526" t="s">
        <v>356</v>
      </c>
      <c r="D526">
        <v>70.418000000000006</v>
      </c>
      <c r="E526" t="str">
        <f t="shared" si="17"/>
        <v>70418</v>
      </c>
      <c r="F526" t="s">
        <v>748</v>
      </c>
      <c r="G526" t="str">
        <f t="shared" si="16"/>
        <v>Los Palmitos, Sucre, 70418</v>
      </c>
    </row>
    <row r="527" spans="1:7" x14ac:dyDescent="0.25">
      <c r="A527" t="s">
        <v>17</v>
      </c>
      <c r="B527">
        <v>54</v>
      </c>
      <c r="C527" t="s">
        <v>939</v>
      </c>
      <c r="D527">
        <v>54.405000000000001</v>
      </c>
      <c r="E527" t="str">
        <f t="shared" si="17"/>
        <v>54405</v>
      </c>
      <c r="F527" t="s">
        <v>986</v>
      </c>
      <c r="G527" t="str">
        <f t="shared" si="16"/>
        <v>Los Patios, Norte de Santander, 54405</v>
      </c>
    </row>
    <row r="528" spans="1:7" x14ac:dyDescent="0.25">
      <c r="A528" t="s">
        <v>17</v>
      </c>
      <c r="B528">
        <v>68</v>
      </c>
      <c r="C528" t="s">
        <v>104</v>
      </c>
      <c r="D528">
        <v>68.418000000000006</v>
      </c>
      <c r="E528" t="str">
        <f t="shared" si="17"/>
        <v>68418</v>
      </c>
      <c r="F528" t="s">
        <v>714</v>
      </c>
      <c r="G528" t="str">
        <f t="shared" si="16"/>
        <v>Los Santos, Santander, 68418</v>
      </c>
    </row>
    <row r="529" spans="1:7" x14ac:dyDescent="0.25">
      <c r="A529" t="s">
        <v>17</v>
      </c>
      <c r="B529">
        <v>54</v>
      </c>
      <c r="C529" t="s">
        <v>939</v>
      </c>
      <c r="D529">
        <v>54.417999999999999</v>
      </c>
      <c r="E529" t="str">
        <f t="shared" si="17"/>
        <v>54418</v>
      </c>
      <c r="F529" t="s">
        <v>961</v>
      </c>
      <c r="G529" t="str">
        <f t="shared" si="16"/>
        <v>Lourdes, Norte de Santander, 54418</v>
      </c>
    </row>
    <row r="530" spans="1:7" x14ac:dyDescent="0.25">
      <c r="A530" t="s">
        <v>56</v>
      </c>
      <c r="B530">
        <v>8</v>
      </c>
      <c r="C530" t="s">
        <v>137</v>
      </c>
      <c r="D530">
        <v>8.4209999999999994</v>
      </c>
      <c r="E530" t="str">
        <f t="shared" si="17"/>
        <v>8421</v>
      </c>
      <c r="F530" t="s">
        <v>142</v>
      </c>
      <c r="G530" t="str">
        <f t="shared" si="16"/>
        <v>Luruaco, Atlántico, 8421</v>
      </c>
    </row>
    <row r="531" spans="1:7" x14ac:dyDescent="0.25">
      <c r="A531" t="s">
        <v>17</v>
      </c>
      <c r="B531">
        <v>15</v>
      </c>
      <c r="C531" t="s">
        <v>18</v>
      </c>
      <c r="D531">
        <v>15.425000000000001</v>
      </c>
      <c r="E531" t="str">
        <f t="shared" si="17"/>
        <v>15425</v>
      </c>
      <c r="F531" t="s">
        <v>229</v>
      </c>
      <c r="G531" t="str">
        <f t="shared" si="16"/>
        <v>Macanal, Boyacá, 15425</v>
      </c>
    </row>
    <row r="532" spans="1:7" x14ac:dyDescent="0.25">
      <c r="A532" t="s">
        <v>17</v>
      </c>
      <c r="B532">
        <v>68</v>
      </c>
      <c r="C532" t="s">
        <v>104</v>
      </c>
      <c r="D532">
        <v>68.424999999999997</v>
      </c>
      <c r="E532" t="str">
        <f t="shared" si="17"/>
        <v>68425</v>
      </c>
      <c r="F532" t="s">
        <v>715</v>
      </c>
      <c r="G532" t="str">
        <f t="shared" si="16"/>
        <v>Macaravita, Santander, 68425</v>
      </c>
    </row>
    <row r="533" spans="1:7" x14ac:dyDescent="0.25">
      <c r="A533" t="s">
        <v>5</v>
      </c>
      <c r="B533">
        <v>5</v>
      </c>
      <c r="C533" t="s">
        <v>6</v>
      </c>
      <c r="D533">
        <v>5.4249999999999998</v>
      </c>
      <c r="E533" t="str">
        <f t="shared" si="17"/>
        <v>5425</v>
      </c>
      <c r="F533" t="s">
        <v>79</v>
      </c>
      <c r="G533" t="str">
        <f t="shared" si="16"/>
        <v>Maceo, Antioquia, 5425</v>
      </c>
    </row>
    <row r="534" spans="1:7" x14ac:dyDescent="0.25">
      <c r="A534" t="s">
        <v>17</v>
      </c>
      <c r="B534">
        <v>25</v>
      </c>
      <c r="C534" t="s">
        <v>409</v>
      </c>
      <c r="D534">
        <v>25.425999999999998</v>
      </c>
      <c r="E534" t="str">
        <f t="shared" si="17"/>
        <v>25426</v>
      </c>
      <c r="F534" t="s">
        <v>452</v>
      </c>
      <c r="G534" t="str">
        <f t="shared" si="16"/>
        <v>Macheta, Cundinamarca, 25426</v>
      </c>
    </row>
    <row r="535" spans="1:7" x14ac:dyDescent="0.25">
      <c r="A535" t="s">
        <v>17</v>
      </c>
      <c r="B535">
        <v>25</v>
      </c>
      <c r="C535" t="s">
        <v>409</v>
      </c>
      <c r="D535">
        <v>25.43</v>
      </c>
      <c r="E535" t="str">
        <f t="shared" si="17"/>
        <v>2543</v>
      </c>
      <c r="F535" t="s">
        <v>453</v>
      </c>
      <c r="G535" t="str">
        <f t="shared" si="16"/>
        <v>Madrid, Cundinamarca, 2543</v>
      </c>
    </row>
    <row r="536" spans="1:7" x14ac:dyDescent="0.25">
      <c r="A536" t="s">
        <v>56</v>
      </c>
      <c r="B536">
        <v>13</v>
      </c>
      <c r="C536" t="s">
        <v>154</v>
      </c>
      <c r="D536">
        <v>13.43</v>
      </c>
      <c r="E536" t="str">
        <f t="shared" si="17"/>
        <v>1343</v>
      </c>
      <c r="F536" t="s">
        <v>164</v>
      </c>
      <c r="G536" t="str">
        <f t="shared" si="16"/>
        <v>Magangué, Bolívar, 1343</v>
      </c>
    </row>
    <row r="537" spans="1:7" x14ac:dyDescent="0.25">
      <c r="A537" t="s">
        <v>62</v>
      </c>
      <c r="B537">
        <v>52</v>
      </c>
      <c r="C537" t="s">
        <v>84</v>
      </c>
      <c r="D537">
        <v>52.427</v>
      </c>
      <c r="E537" t="str">
        <f t="shared" si="17"/>
        <v>52427</v>
      </c>
      <c r="F537" t="s">
        <v>640</v>
      </c>
      <c r="G537" t="str">
        <f t="shared" si="16"/>
        <v>Magüí, Nariño, 52427</v>
      </c>
    </row>
    <row r="538" spans="1:7" x14ac:dyDescent="0.25">
      <c r="A538" t="s">
        <v>56</v>
      </c>
      <c r="B538">
        <v>13</v>
      </c>
      <c r="C538" t="s">
        <v>154</v>
      </c>
      <c r="D538">
        <v>13.433</v>
      </c>
      <c r="E538" t="str">
        <f t="shared" si="17"/>
        <v>13433</v>
      </c>
      <c r="F538" t="s">
        <v>165</v>
      </c>
      <c r="G538" t="str">
        <f t="shared" si="16"/>
        <v>Mahates, Bolívar, 13433</v>
      </c>
    </row>
    <row r="539" spans="1:7" x14ac:dyDescent="0.25">
      <c r="A539" t="s">
        <v>56</v>
      </c>
      <c r="B539">
        <v>44</v>
      </c>
      <c r="C539" t="s">
        <v>559</v>
      </c>
      <c r="D539">
        <v>44.43</v>
      </c>
      <c r="E539" t="str">
        <f t="shared" si="17"/>
        <v>4443</v>
      </c>
      <c r="F539" t="s">
        <v>567</v>
      </c>
      <c r="G539" t="str">
        <f t="shared" si="16"/>
        <v>Maicao, La Guajira, 4443</v>
      </c>
    </row>
    <row r="540" spans="1:7" x14ac:dyDescent="0.25">
      <c r="A540" t="s">
        <v>56</v>
      </c>
      <c r="B540">
        <v>70</v>
      </c>
      <c r="C540" t="s">
        <v>356</v>
      </c>
      <c r="D540">
        <v>70.429000000000002</v>
      </c>
      <c r="E540" t="str">
        <f t="shared" si="17"/>
        <v>70429</v>
      </c>
      <c r="F540" t="s">
        <v>749</v>
      </c>
      <c r="G540" t="str">
        <f t="shared" si="16"/>
        <v>Majagual, Sucre, 70429</v>
      </c>
    </row>
    <row r="541" spans="1:7" x14ac:dyDescent="0.25">
      <c r="A541" t="s">
        <v>17</v>
      </c>
      <c r="B541">
        <v>68</v>
      </c>
      <c r="C541" t="s">
        <v>104</v>
      </c>
      <c r="D541">
        <v>68.432000000000002</v>
      </c>
      <c r="E541" t="str">
        <f t="shared" si="17"/>
        <v>68432</v>
      </c>
      <c r="F541" t="s">
        <v>716</v>
      </c>
      <c r="G541" t="str">
        <f t="shared" si="16"/>
        <v>Málaga, Santander, 68432</v>
      </c>
    </row>
    <row r="542" spans="1:7" x14ac:dyDescent="0.25">
      <c r="A542" t="s">
        <v>56</v>
      </c>
      <c r="B542">
        <v>8</v>
      </c>
      <c r="C542" t="s">
        <v>137</v>
      </c>
      <c r="D542">
        <v>8.4329999999999998</v>
      </c>
      <c r="E542" t="str">
        <f t="shared" si="17"/>
        <v>8433</v>
      </c>
      <c r="F542" t="s">
        <v>143</v>
      </c>
      <c r="G542" t="str">
        <f t="shared" si="16"/>
        <v>Malambo, Atlántico, 8433</v>
      </c>
    </row>
    <row r="543" spans="1:7" x14ac:dyDescent="0.25">
      <c r="A543" t="s">
        <v>62</v>
      </c>
      <c r="B543">
        <v>52</v>
      </c>
      <c r="C543" t="s">
        <v>84</v>
      </c>
      <c r="D543">
        <v>52.435000000000002</v>
      </c>
      <c r="E543" t="str">
        <f t="shared" si="17"/>
        <v>52435</v>
      </c>
      <c r="F543" t="s">
        <v>641</v>
      </c>
      <c r="G543" t="str">
        <f t="shared" si="16"/>
        <v>Mallama, Nariño, 52435</v>
      </c>
    </row>
    <row r="544" spans="1:7" x14ac:dyDescent="0.25">
      <c r="A544" t="s">
        <v>56</v>
      </c>
      <c r="B544">
        <v>8</v>
      </c>
      <c r="C544" t="s">
        <v>137</v>
      </c>
      <c r="D544">
        <v>8.4359999999999999</v>
      </c>
      <c r="E544" t="str">
        <f t="shared" si="17"/>
        <v>8436</v>
      </c>
      <c r="F544" t="s">
        <v>144</v>
      </c>
      <c r="G544" t="str">
        <f t="shared" si="16"/>
        <v>Manatí, Atlántico, 8436</v>
      </c>
    </row>
    <row r="545" spans="1:7" x14ac:dyDescent="0.25">
      <c r="A545" t="s">
        <v>56</v>
      </c>
      <c r="B545">
        <v>20</v>
      </c>
      <c r="C545" t="s">
        <v>362</v>
      </c>
      <c r="D545">
        <v>20.443000000000001</v>
      </c>
      <c r="E545" t="str">
        <f t="shared" si="17"/>
        <v>20443</v>
      </c>
      <c r="F545" t="s">
        <v>377</v>
      </c>
      <c r="G545" t="str">
        <f t="shared" si="16"/>
        <v>Manaure, Cesar, 20443</v>
      </c>
    </row>
    <row r="546" spans="1:7" x14ac:dyDescent="0.25">
      <c r="A546" t="s">
        <v>56</v>
      </c>
      <c r="B546">
        <v>44</v>
      </c>
      <c r="C546" t="s">
        <v>559</v>
      </c>
      <c r="D546">
        <v>44.56</v>
      </c>
      <c r="E546" t="str">
        <f t="shared" si="17"/>
        <v>4456</v>
      </c>
      <c r="F546" t="s">
        <v>377</v>
      </c>
      <c r="G546" t="str">
        <f t="shared" si="16"/>
        <v>Manaure, La Guajira, 4456</v>
      </c>
    </row>
    <row r="547" spans="1:7" x14ac:dyDescent="0.25">
      <c r="A547" t="s">
        <v>117</v>
      </c>
      <c r="B547">
        <v>85</v>
      </c>
      <c r="C547" t="s">
        <v>802</v>
      </c>
      <c r="D547">
        <v>85.138999999999996</v>
      </c>
      <c r="E547" t="str">
        <f t="shared" si="17"/>
        <v>85139</v>
      </c>
      <c r="F547" t="s">
        <v>1011</v>
      </c>
      <c r="G547" t="str">
        <f t="shared" si="16"/>
        <v>Maní, Casanare, 85139</v>
      </c>
    </row>
    <row r="548" spans="1:7" x14ac:dyDescent="0.25">
      <c r="A548" t="s">
        <v>5</v>
      </c>
      <c r="B548">
        <v>17</v>
      </c>
      <c r="C548" t="s">
        <v>34</v>
      </c>
      <c r="D548">
        <v>17.001000000000001</v>
      </c>
      <c r="E548" t="str">
        <f t="shared" si="17"/>
        <v>17001</v>
      </c>
      <c r="F548" t="s">
        <v>290</v>
      </c>
      <c r="G548" t="str">
        <f t="shared" si="16"/>
        <v>Manizales, Caldas, 17001</v>
      </c>
    </row>
    <row r="549" spans="1:7" x14ac:dyDescent="0.25">
      <c r="A549" t="s">
        <v>17</v>
      </c>
      <c r="B549">
        <v>25</v>
      </c>
      <c r="C549" t="s">
        <v>409</v>
      </c>
      <c r="D549">
        <v>25.436</v>
      </c>
      <c r="E549" t="str">
        <f t="shared" si="17"/>
        <v>25436</v>
      </c>
      <c r="F549" t="s">
        <v>454</v>
      </c>
      <c r="G549" t="str">
        <f t="shared" si="16"/>
        <v>Manta, Cundinamarca, 25436</v>
      </c>
    </row>
    <row r="550" spans="1:7" x14ac:dyDescent="0.25">
      <c r="A550" t="s">
        <v>5</v>
      </c>
      <c r="B550">
        <v>17</v>
      </c>
      <c r="C550" t="s">
        <v>34</v>
      </c>
      <c r="D550">
        <v>17.433</v>
      </c>
      <c r="E550" t="str">
        <f t="shared" si="17"/>
        <v>17433</v>
      </c>
      <c r="F550" t="s">
        <v>299</v>
      </c>
      <c r="G550" t="str">
        <f t="shared" si="16"/>
        <v>Manzanares, Caldas, 17433</v>
      </c>
    </row>
    <row r="551" spans="1:7" x14ac:dyDescent="0.25">
      <c r="A551" t="s">
        <v>117</v>
      </c>
      <c r="B551">
        <v>50</v>
      </c>
      <c r="C551" t="s">
        <v>118</v>
      </c>
      <c r="D551">
        <v>50.325000000000003</v>
      </c>
      <c r="E551" t="str">
        <f t="shared" si="17"/>
        <v>50325</v>
      </c>
      <c r="F551" t="s">
        <v>601</v>
      </c>
      <c r="G551" t="str">
        <f t="shared" si="16"/>
        <v>Mapiripán, Meta, 50325</v>
      </c>
    </row>
    <row r="552" spans="1:7" x14ac:dyDescent="0.25">
      <c r="A552" t="s">
        <v>117</v>
      </c>
      <c r="B552">
        <v>94</v>
      </c>
      <c r="C552" t="s">
        <v>831</v>
      </c>
      <c r="D552">
        <v>94.662999999999997</v>
      </c>
      <c r="E552" t="str">
        <f t="shared" si="17"/>
        <v>94663</v>
      </c>
      <c r="F552" t="s">
        <v>834</v>
      </c>
      <c r="G552" t="str">
        <f t="shared" si="16"/>
        <v>Mapiripana, Guainía, 94663</v>
      </c>
    </row>
    <row r="553" spans="1:7" x14ac:dyDescent="0.25">
      <c r="A553" t="s">
        <v>56</v>
      </c>
      <c r="B553">
        <v>13</v>
      </c>
      <c r="C553" t="s">
        <v>154</v>
      </c>
      <c r="D553">
        <v>13.44</v>
      </c>
      <c r="E553" t="str">
        <f t="shared" si="17"/>
        <v>1344</v>
      </c>
      <c r="F553" t="s">
        <v>166</v>
      </c>
      <c r="G553" t="str">
        <f t="shared" si="16"/>
        <v>Margarita, Bolívar, 1344</v>
      </c>
    </row>
    <row r="554" spans="1:7" x14ac:dyDescent="0.25">
      <c r="A554" t="s">
        <v>56</v>
      </c>
      <c r="B554">
        <v>13</v>
      </c>
      <c r="C554" t="s">
        <v>154</v>
      </c>
      <c r="D554">
        <v>13.442</v>
      </c>
      <c r="E554" t="str">
        <f t="shared" si="17"/>
        <v>13442</v>
      </c>
      <c r="F554" t="s">
        <v>1038</v>
      </c>
      <c r="G554" t="str">
        <f t="shared" si="16"/>
        <v>María la Baja, Bolívar, 13442</v>
      </c>
    </row>
    <row r="555" spans="1:7" x14ac:dyDescent="0.25">
      <c r="A555" t="s">
        <v>5</v>
      </c>
      <c r="B555">
        <v>5</v>
      </c>
      <c r="C555" t="s">
        <v>6</v>
      </c>
      <c r="D555">
        <v>5.44</v>
      </c>
      <c r="E555" t="str">
        <f t="shared" si="17"/>
        <v>544</v>
      </c>
      <c r="F555" t="s">
        <v>80</v>
      </c>
      <c r="G555" t="str">
        <f t="shared" si="16"/>
        <v>Marinilla, Antioquia, 544</v>
      </c>
    </row>
    <row r="556" spans="1:7" x14ac:dyDescent="0.25">
      <c r="A556" t="s">
        <v>17</v>
      </c>
      <c r="B556">
        <v>15</v>
      </c>
      <c r="C556" t="s">
        <v>18</v>
      </c>
      <c r="D556">
        <v>15.442</v>
      </c>
      <c r="E556" t="str">
        <f t="shared" si="17"/>
        <v>15442</v>
      </c>
      <c r="F556" t="s">
        <v>230</v>
      </c>
      <c r="G556" t="str">
        <f t="shared" si="16"/>
        <v>Maripí, Boyacá, 15442</v>
      </c>
    </row>
    <row r="557" spans="1:7" x14ac:dyDescent="0.25">
      <c r="A557" t="s">
        <v>316</v>
      </c>
      <c r="B557">
        <v>73</v>
      </c>
      <c r="C557" t="s">
        <v>757</v>
      </c>
      <c r="D557">
        <v>73.442999999999998</v>
      </c>
      <c r="E557" t="str">
        <f t="shared" si="17"/>
        <v>73443</v>
      </c>
      <c r="F557" t="s">
        <v>777</v>
      </c>
      <c r="G557" t="str">
        <f t="shared" si="16"/>
        <v>Mariquita, Tolima, 73443</v>
      </c>
    </row>
    <row r="558" spans="1:7" x14ac:dyDescent="0.25">
      <c r="A558" t="s">
        <v>5</v>
      </c>
      <c r="B558">
        <v>17</v>
      </c>
      <c r="C558" t="s">
        <v>34</v>
      </c>
      <c r="D558">
        <v>17.442</v>
      </c>
      <c r="E558" t="str">
        <f t="shared" si="17"/>
        <v>17442</v>
      </c>
      <c r="F558" t="s">
        <v>300</v>
      </c>
      <c r="G558" t="str">
        <f t="shared" si="16"/>
        <v>Marmato, Caldas, 17442</v>
      </c>
    </row>
    <row r="559" spans="1:7" x14ac:dyDescent="0.25">
      <c r="A559" t="s">
        <v>5</v>
      </c>
      <c r="B559">
        <v>17</v>
      </c>
      <c r="C559" t="s">
        <v>34</v>
      </c>
      <c r="D559">
        <v>17.443999999999999</v>
      </c>
      <c r="E559" t="str">
        <f t="shared" si="17"/>
        <v>17444</v>
      </c>
      <c r="F559" t="s">
        <v>1064</v>
      </c>
      <c r="G559" t="str">
        <f t="shared" si="16"/>
        <v>Marquetalia, Caldas, 17444</v>
      </c>
    </row>
    <row r="560" spans="1:7" x14ac:dyDescent="0.25">
      <c r="A560" t="s">
        <v>5</v>
      </c>
      <c r="B560">
        <v>66</v>
      </c>
      <c r="C560" t="s">
        <v>308</v>
      </c>
      <c r="D560">
        <v>66.44</v>
      </c>
      <c r="E560" t="str">
        <f t="shared" si="17"/>
        <v>6644</v>
      </c>
      <c r="F560" t="s">
        <v>674</v>
      </c>
      <c r="G560" t="str">
        <f t="shared" si="16"/>
        <v>Marsella, Risaralda, 6644</v>
      </c>
    </row>
    <row r="561" spans="1:7" x14ac:dyDescent="0.25">
      <c r="A561" t="s">
        <v>5</v>
      </c>
      <c r="B561">
        <v>17</v>
      </c>
      <c r="C561" t="s">
        <v>34</v>
      </c>
      <c r="D561">
        <v>17.446000000000002</v>
      </c>
      <c r="E561" t="str">
        <f t="shared" si="17"/>
        <v>17446</v>
      </c>
      <c r="F561" t="s">
        <v>301</v>
      </c>
      <c r="G561" t="str">
        <f t="shared" si="16"/>
        <v>Marulanda, Caldas, 17446</v>
      </c>
    </row>
    <row r="562" spans="1:7" x14ac:dyDescent="0.25">
      <c r="A562" t="s">
        <v>17</v>
      </c>
      <c r="B562">
        <v>68</v>
      </c>
      <c r="C562" t="s">
        <v>104</v>
      </c>
      <c r="D562">
        <v>68.444000000000003</v>
      </c>
      <c r="E562" t="str">
        <f t="shared" si="17"/>
        <v>68444</v>
      </c>
      <c r="F562" t="s">
        <v>717</v>
      </c>
      <c r="G562" t="str">
        <f t="shared" si="16"/>
        <v>Matanza, Santander, 68444</v>
      </c>
    </row>
    <row r="563" spans="1:7" x14ac:dyDescent="0.25">
      <c r="A563" t="s">
        <v>5</v>
      </c>
      <c r="B563">
        <v>5</v>
      </c>
      <c r="C563" t="s">
        <v>6</v>
      </c>
      <c r="D563">
        <v>5.0010000000000003</v>
      </c>
      <c r="E563" t="str">
        <f t="shared" si="17"/>
        <v>5001</v>
      </c>
      <c r="F563" t="s">
        <v>7</v>
      </c>
      <c r="G563" t="str">
        <f t="shared" si="16"/>
        <v>Medellín, Antioquia, 5001</v>
      </c>
    </row>
    <row r="564" spans="1:7" x14ac:dyDescent="0.25">
      <c r="A564" t="s">
        <v>17</v>
      </c>
      <c r="B564">
        <v>25</v>
      </c>
      <c r="C564" t="s">
        <v>409</v>
      </c>
      <c r="D564">
        <v>25.437999999999999</v>
      </c>
      <c r="E564" t="str">
        <f t="shared" si="17"/>
        <v>25438</v>
      </c>
      <c r="F564" t="s">
        <v>455</v>
      </c>
      <c r="G564" t="str">
        <f t="shared" si="16"/>
        <v>Medina, Cundinamarca, 25438</v>
      </c>
    </row>
    <row r="565" spans="1:7" x14ac:dyDescent="0.25">
      <c r="A565" t="s">
        <v>62</v>
      </c>
      <c r="B565">
        <v>27</v>
      </c>
      <c r="C565" t="s">
        <v>63</v>
      </c>
      <c r="D565">
        <v>27.425000000000001</v>
      </c>
      <c r="E565" t="str">
        <f t="shared" si="17"/>
        <v>27425</v>
      </c>
      <c r="F565" t="s">
        <v>516</v>
      </c>
      <c r="G565" t="str">
        <f t="shared" si="16"/>
        <v>Medio Atrato, Chocó, 27425</v>
      </c>
    </row>
    <row r="566" spans="1:7" x14ac:dyDescent="0.25">
      <c r="A566" t="s">
        <v>62</v>
      </c>
      <c r="B566">
        <v>27</v>
      </c>
      <c r="C566" t="s">
        <v>63</v>
      </c>
      <c r="D566">
        <v>27.43</v>
      </c>
      <c r="E566" t="str">
        <f t="shared" si="17"/>
        <v>2743</v>
      </c>
      <c r="F566" t="s">
        <v>517</v>
      </c>
      <c r="G566" t="str">
        <f t="shared" si="16"/>
        <v>Medio Baudó, Chocó, 2743</v>
      </c>
    </row>
    <row r="567" spans="1:7" x14ac:dyDescent="0.25">
      <c r="A567" t="s">
        <v>62</v>
      </c>
      <c r="B567">
        <v>27</v>
      </c>
      <c r="C567" t="s">
        <v>63</v>
      </c>
      <c r="D567">
        <v>27.45</v>
      </c>
      <c r="E567" t="str">
        <f t="shared" si="17"/>
        <v>2745</v>
      </c>
      <c r="F567" t="s">
        <v>518</v>
      </c>
      <c r="G567" t="str">
        <f t="shared" si="16"/>
        <v>Medio San Juan, Chocó, 2745</v>
      </c>
    </row>
    <row r="568" spans="1:7" x14ac:dyDescent="0.25">
      <c r="A568" t="s">
        <v>316</v>
      </c>
      <c r="B568">
        <v>73</v>
      </c>
      <c r="C568" t="s">
        <v>757</v>
      </c>
      <c r="D568">
        <v>73.448999999999998</v>
      </c>
      <c r="E568" t="str">
        <f t="shared" si="17"/>
        <v>73449</v>
      </c>
      <c r="F568" t="s">
        <v>778</v>
      </c>
      <c r="G568" t="str">
        <f t="shared" si="16"/>
        <v>Melgar, Tolima, 73449</v>
      </c>
    </row>
    <row r="569" spans="1:7" x14ac:dyDescent="0.25">
      <c r="A569" t="s">
        <v>62</v>
      </c>
      <c r="B569">
        <v>19</v>
      </c>
      <c r="C569" t="s">
        <v>327</v>
      </c>
      <c r="D569">
        <v>19.45</v>
      </c>
      <c r="E569" t="str">
        <f t="shared" si="17"/>
        <v>1945</v>
      </c>
      <c r="F569" t="s">
        <v>344</v>
      </c>
      <c r="G569" t="str">
        <f t="shared" si="16"/>
        <v>Mercaderes, Cauca, 1945</v>
      </c>
    </row>
    <row r="570" spans="1:7" x14ac:dyDescent="0.25">
      <c r="A570" t="s">
        <v>117</v>
      </c>
      <c r="B570">
        <v>50</v>
      </c>
      <c r="C570" t="s">
        <v>118</v>
      </c>
      <c r="D570">
        <v>50.33</v>
      </c>
      <c r="E570" t="str">
        <f t="shared" si="17"/>
        <v>5033</v>
      </c>
      <c r="F570" t="s">
        <v>602</v>
      </c>
      <c r="G570" t="str">
        <f t="shared" si="16"/>
        <v>Mesetas, Meta, 5033</v>
      </c>
    </row>
    <row r="571" spans="1:7" x14ac:dyDescent="0.25">
      <c r="A571" t="s">
        <v>316</v>
      </c>
      <c r="B571">
        <v>18</v>
      </c>
      <c r="C571" t="s">
        <v>317</v>
      </c>
      <c r="D571">
        <v>18.46</v>
      </c>
      <c r="E571" t="str">
        <f t="shared" si="17"/>
        <v>1846</v>
      </c>
      <c r="F571" t="s">
        <v>1018</v>
      </c>
      <c r="G571" t="str">
        <f t="shared" si="16"/>
        <v>Milán, Caquetá, 1846</v>
      </c>
    </row>
    <row r="572" spans="1:7" x14ac:dyDescent="0.25">
      <c r="A572" t="s">
        <v>17</v>
      </c>
      <c r="B572">
        <v>15</v>
      </c>
      <c r="C572" t="s">
        <v>18</v>
      </c>
      <c r="D572">
        <v>15.455</v>
      </c>
      <c r="E572" t="str">
        <f t="shared" si="17"/>
        <v>15455</v>
      </c>
      <c r="F572" t="s">
        <v>231</v>
      </c>
      <c r="G572" t="str">
        <f t="shared" si="16"/>
        <v>Miraflores, Boyacá, 15455</v>
      </c>
    </row>
    <row r="573" spans="1:7" x14ac:dyDescent="0.25">
      <c r="A573" t="s">
        <v>117</v>
      </c>
      <c r="B573">
        <v>95</v>
      </c>
      <c r="C573" t="s">
        <v>871</v>
      </c>
      <c r="D573">
        <v>95.2</v>
      </c>
      <c r="E573" t="str">
        <f t="shared" si="17"/>
        <v>952</v>
      </c>
      <c r="F573" t="s">
        <v>231</v>
      </c>
      <c r="G573" t="str">
        <f t="shared" si="16"/>
        <v>Miraflores, Guaviare, 952</v>
      </c>
    </row>
    <row r="574" spans="1:7" x14ac:dyDescent="0.25">
      <c r="A574" t="s">
        <v>62</v>
      </c>
      <c r="B574">
        <v>19</v>
      </c>
      <c r="C574" t="s">
        <v>327</v>
      </c>
      <c r="D574">
        <v>19.454999999999998</v>
      </c>
      <c r="E574" t="str">
        <f t="shared" si="17"/>
        <v>19455</v>
      </c>
      <c r="F574" t="s">
        <v>345</v>
      </c>
      <c r="G574" t="str">
        <f t="shared" si="16"/>
        <v>Miranda, Cauca, 19455</v>
      </c>
    </row>
    <row r="575" spans="1:7" x14ac:dyDescent="0.25">
      <c r="A575" t="s">
        <v>316</v>
      </c>
      <c r="B575">
        <v>91</v>
      </c>
      <c r="C575" t="s">
        <v>822</v>
      </c>
      <c r="D575">
        <v>91.46</v>
      </c>
      <c r="E575" t="str">
        <f t="shared" si="17"/>
        <v>9146</v>
      </c>
      <c r="F575" t="s">
        <v>1025</v>
      </c>
      <c r="G575" t="str">
        <f t="shared" si="16"/>
        <v>Miriti Paraná, Amazonas, 9146</v>
      </c>
    </row>
    <row r="576" spans="1:7" x14ac:dyDescent="0.25">
      <c r="A576" t="s">
        <v>5</v>
      </c>
      <c r="B576">
        <v>66</v>
      </c>
      <c r="C576" t="s">
        <v>308</v>
      </c>
      <c r="D576">
        <v>66.456000000000003</v>
      </c>
      <c r="E576" t="str">
        <f t="shared" si="17"/>
        <v>66456</v>
      </c>
      <c r="F576" t="s">
        <v>675</v>
      </c>
      <c r="G576" t="str">
        <f t="shared" si="16"/>
        <v>Mistrató, Risaralda, 66456</v>
      </c>
    </row>
    <row r="577" spans="1:7" x14ac:dyDescent="0.25">
      <c r="A577" t="s">
        <v>316</v>
      </c>
      <c r="B577">
        <v>97</v>
      </c>
      <c r="C577" t="s">
        <v>840</v>
      </c>
      <c r="D577">
        <v>97.001000000000005</v>
      </c>
      <c r="E577" t="str">
        <f t="shared" si="17"/>
        <v>97001</v>
      </c>
      <c r="F577" t="s">
        <v>841</v>
      </c>
      <c r="G577" t="str">
        <f t="shared" si="16"/>
        <v>Mitú, Vaupés, 97001</v>
      </c>
    </row>
    <row r="578" spans="1:7" x14ac:dyDescent="0.25">
      <c r="A578" t="s">
        <v>316</v>
      </c>
      <c r="B578">
        <v>86</v>
      </c>
      <c r="C578" t="s">
        <v>814</v>
      </c>
      <c r="D578">
        <v>86.001000000000005</v>
      </c>
      <c r="E578" t="str">
        <f t="shared" si="17"/>
        <v>86001</v>
      </c>
      <c r="F578" t="s">
        <v>815</v>
      </c>
      <c r="G578" t="str">
        <f t="shared" ref="G578:G641" si="18">_xlfn.CONCAT(F578,", ",C578,", ",E578)</f>
        <v>Mocoa, Putumayo, 86001</v>
      </c>
    </row>
    <row r="579" spans="1:7" x14ac:dyDescent="0.25">
      <c r="A579" t="s">
        <v>17</v>
      </c>
      <c r="B579">
        <v>68</v>
      </c>
      <c r="C579" t="s">
        <v>104</v>
      </c>
      <c r="D579">
        <v>68.463999999999999</v>
      </c>
      <c r="E579" t="str">
        <f t="shared" ref="E579:E642" si="19">SUBSTITUTE(D579, ".", "",1)</f>
        <v>68464</v>
      </c>
      <c r="F579" t="s">
        <v>718</v>
      </c>
      <c r="G579" t="str">
        <f t="shared" si="18"/>
        <v>Mogotes, Santander, 68464</v>
      </c>
    </row>
    <row r="580" spans="1:7" x14ac:dyDescent="0.25">
      <c r="A580" t="s">
        <v>17</v>
      </c>
      <c r="B580">
        <v>68</v>
      </c>
      <c r="C580" t="s">
        <v>104</v>
      </c>
      <c r="D580">
        <v>68.468000000000004</v>
      </c>
      <c r="E580" t="str">
        <f t="shared" si="19"/>
        <v>68468</v>
      </c>
      <c r="F580" t="s">
        <v>719</v>
      </c>
      <c r="G580" t="str">
        <f t="shared" si="18"/>
        <v>Molagavita, Santander, 68468</v>
      </c>
    </row>
    <row r="581" spans="1:7" x14ac:dyDescent="0.25">
      <c r="A581" t="s">
        <v>56</v>
      </c>
      <c r="B581">
        <v>23</v>
      </c>
      <c r="C581" t="s">
        <v>57</v>
      </c>
      <c r="D581">
        <v>23.463999999999999</v>
      </c>
      <c r="E581" t="str">
        <f t="shared" si="19"/>
        <v>23464</v>
      </c>
      <c r="F581" t="s">
        <v>396</v>
      </c>
      <c r="G581" t="str">
        <f t="shared" si="18"/>
        <v>Momil, Córdoba, 23464</v>
      </c>
    </row>
    <row r="582" spans="1:7" x14ac:dyDescent="0.25">
      <c r="A582" t="s">
        <v>56</v>
      </c>
      <c r="B582">
        <v>13</v>
      </c>
      <c r="C582" t="s">
        <v>154</v>
      </c>
      <c r="D582">
        <v>13.468</v>
      </c>
      <c r="E582" t="str">
        <f t="shared" si="19"/>
        <v>13468</v>
      </c>
      <c r="F582" t="s">
        <v>168</v>
      </c>
      <c r="G582" t="str">
        <f t="shared" si="18"/>
        <v>Mompós, Bolívar, 13468</v>
      </c>
    </row>
    <row r="583" spans="1:7" x14ac:dyDescent="0.25">
      <c r="A583" t="s">
        <v>17</v>
      </c>
      <c r="B583">
        <v>15</v>
      </c>
      <c r="C583" t="s">
        <v>18</v>
      </c>
      <c r="D583">
        <v>15.464</v>
      </c>
      <c r="E583" t="str">
        <f t="shared" si="19"/>
        <v>15464</v>
      </c>
      <c r="F583" t="s">
        <v>232</v>
      </c>
      <c r="G583" t="str">
        <f t="shared" si="18"/>
        <v>Mongua, Boyacá, 15464</v>
      </c>
    </row>
    <row r="584" spans="1:7" x14ac:dyDescent="0.25">
      <c r="A584" t="s">
        <v>17</v>
      </c>
      <c r="B584">
        <v>15</v>
      </c>
      <c r="C584" t="s">
        <v>18</v>
      </c>
      <c r="D584">
        <v>15.465999999999999</v>
      </c>
      <c r="E584" t="str">
        <f t="shared" si="19"/>
        <v>15466</v>
      </c>
      <c r="F584" t="s">
        <v>233</v>
      </c>
      <c r="G584" t="str">
        <f t="shared" si="18"/>
        <v>Monguí, Boyacá, 15466</v>
      </c>
    </row>
    <row r="585" spans="1:7" x14ac:dyDescent="0.25">
      <c r="A585" t="s">
        <v>17</v>
      </c>
      <c r="B585">
        <v>15</v>
      </c>
      <c r="C585" t="s">
        <v>18</v>
      </c>
      <c r="D585">
        <v>15.468999999999999</v>
      </c>
      <c r="E585" t="str">
        <f t="shared" si="19"/>
        <v>15469</v>
      </c>
      <c r="F585" t="s">
        <v>234</v>
      </c>
      <c r="G585" t="str">
        <f t="shared" si="18"/>
        <v>Moniquirá, Boyacá, 15469</v>
      </c>
    </row>
    <row r="586" spans="1:7" x14ac:dyDescent="0.25">
      <c r="A586" t="s">
        <v>56</v>
      </c>
      <c r="B586">
        <v>23</v>
      </c>
      <c r="C586" t="s">
        <v>57</v>
      </c>
      <c r="D586">
        <v>23.5</v>
      </c>
      <c r="E586" t="str">
        <f t="shared" si="19"/>
        <v>235</v>
      </c>
      <c r="F586" t="s">
        <v>397</v>
      </c>
      <c r="G586" t="str">
        <f t="shared" si="18"/>
        <v>Moñitos, Córdoba, 235</v>
      </c>
    </row>
    <row r="587" spans="1:7" x14ac:dyDescent="0.25">
      <c r="A587" t="s">
        <v>5</v>
      </c>
      <c r="B587">
        <v>5</v>
      </c>
      <c r="C587" t="s">
        <v>6</v>
      </c>
      <c r="D587">
        <v>5.4669999999999996</v>
      </c>
      <c r="E587" t="str">
        <f t="shared" si="19"/>
        <v>5467</v>
      </c>
      <c r="F587" t="s">
        <v>81</v>
      </c>
      <c r="G587" t="str">
        <f t="shared" si="18"/>
        <v>Montebello, Antioquia, 5467</v>
      </c>
    </row>
    <row r="588" spans="1:7" x14ac:dyDescent="0.25">
      <c r="A588" t="s">
        <v>56</v>
      </c>
      <c r="B588">
        <v>13</v>
      </c>
      <c r="C588" t="s">
        <v>154</v>
      </c>
      <c r="D588">
        <v>13.458</v>
      </c>
      <c r="E588" t="str">
        <f t="shared" si="19"/>
        <v>13458</v>
      </c>
      <c r="F588" t="s">
        <v>167</v>
      </c>
      <c r="G588" t="str">
        <f t="shared" si="18"/>
        <v>Montecristo, Bolívar, 13458</v>
      </c>
    </row>
    <row r="589" spans="1:7" x14ac:dyDescent="0.25">
      <c r="A589" t="s">
        <v>56</v>
      </c>
      <c r="B589">
        <v>23</v>
      </c>
      <c r="C589" t="s">
        <v>57</v>
      </c>
      <c r="D589">
        <v>23.466000000000001</v>
      </c>
      <c r="E589" t="str">
        <f t="shared" si="19"/>
        <v>23466</v>
      </c>
      <c r="F589" t="s">
        <v>1007</v>
      </c>
      <c r="G589" t="str">
        <f t="shared" si="18"/>
        <v>Montelíbano, Córdoba, 23466</v>
      </c>
    </row>
    <row r="590" spans="1:7" x14ac:dyDescent="0.25">
      <c r="A590" t="s">
        <v>5</v>
      </c>
      <c r="B590">
        <v>63</v>
      </c>
      <c r="C590" t="s">
        <v>660</v>
      </c>
      <c r="D590">
        <v>63.47</v>
      </c>
      <c r="E590" t="str">
        <f t="shared" si="19"/>
        <v>6347</v>
      </c>
      <c r="F590" t="s">
        <v>664</v>
      </c>
      <c r="G590" t="str">
        <f t="shared" si="18"/>
        <v>Montenegro, Quindío, 6347</v>
      </c>
    </row>
    <row r="591" spans="1:7" x14ac:dyDescent="0.25">
      <c r="A591" t="s">
        <v>56</v>
      </c>
      <c r="B591">
        <v>23</v>
      </c>
      <c r="C591" t="s">
        <v>57</v>
      </c>
      <c r="D591">
        <v>23.001000000000001</v>
      </c>
      <c r="E591" t="str">
        <f t="shared" si="19"/>
        <v>23001</v>
      </c>
      <c r="F591" t="s">
        <v>386</v>
      </c>
      <c r="G591" t="str">
        <f t="shared" si="18"/>
        <v>Montería, Córdoba, 23001</v>
      </c>
    </row>
    <row r="592" spans="1:7" x14ac:dyDescent="0.25">
      <c r="A592" t="s">
        <v>117</v>
      </c>
      <c r="B592">
        <v>85</v>
      </c>
      <c r="C592" t="s">
        <v>802</v>
      </c>
      <c r="D592">
        <v>85.162000000000006</v>
      </c>
      <c r="E592" t="str">
        <f t="shared" si="19"/>
        <v>85162</v>
      </c>
      <c r="F592" t="s">
        <v>808</v>
      </c>
      <c r="G592" t="str">
        <f t="shared" si="18"/>
        <v>Monterrey, Casanare, 85162</v>
      </c>
    </row>
    <row r="593" spans="1:7" x14ac:dyDescent="0.25">
      <c r="A593" t="s">
        <v>56</v>
      </c>
      <c r="B593">
        <v>13</v>
      </c>
      <c r="C593" t="s">
        <v>154</v>
      </c>
      <c r="D593">
        <v>13.473000000000001</v>
      </c>
      <c r="E593" t="str">
        <f t="shared" si="19"/>
        <v>13473</v>
      </c>
      <c r="F593" t="s">
        <v>169</v>
      </c>
      <c r="G593" t="str">
        <f t="shared" si="18"/>
        <v>Morales, Bolívar, 13473</v>
      </c>
    </row>
    <row r="594" spans="1:7" x14ac:dyDescent="0.25">
      <c r="A594" t="s">
        <v>62</v>
      </c>
      <c r="B594">
        <v>19</v>
      </c>
      <c r="C594" t="s">
        <v>327</v>
      </c>
      <c r="D594">
        <v>19.472999999999999</v>
      </c>
      <c r="E594" t="str">
        <f t="shared" si="19"/>
        <v>19473</v>
      </c>
      <c r="F594" t="s">
        <v>169</v>
      </c>
      <c r="G594" t="str">
        <f t="shared" si="18"/>
        <v>Morales, Cauca, 19473</v>
      </c>
    </row>
    <row r="595" spans="1:7" x14ac:dyDescent="0.25">
      <c r="A595" t="s">
        <v>316</v>
      </c>
      <c r="B595">
        <v>18</v>
      </c>
      <c r="C595" t="s">
        <v>317</v>
      </c>
      <c r="D595">
        <v>18.478999999999999</v>
      </c>
      <c r="E595" t="str">
        <f t="shared" si="19"/>
        <v>18479</v>
      </c>
      <c r="F595" t="s">
        <v>323</v>
      </c>
      <c r="G595" t="str">
        <f t="shared" si="18"/>
        <v>Morelia, Caquetá, 18479</v>
      </c>
    </row>
    <row r="596" spans="1:7" x14ac:dyDescent="0.25">
      <c r="A596" t="s">
        <v>117</v>
      </c>
      <c r="B596">
        <v>94</v>
      </c>
      <c r="C596" t="s">
        <v>831</v>
      </c>
      <c r="D596">
        <v>94.888000000000005</v>
      </c>
      <c r="E596" t="str">
        <f t="shared" si="19"/>
        <v>94888</v>
      </c>
      <c r="F596" t="s">
        <v>847</v>
      </c>
      <c r="G596" t="str">
        <f t="shared" si="18"/>
        <v>Morichal, Guainía, 94888</v>
      </c>
    </row>
    <row r="597" spans="1:7" x14ac:dyDescent="0.25">
      <c r="A597" t="s">
        <v>56</v>
      </c>
      <c r="B597">
        <v>70</v>
      </c>
      <c r="C597" t="s">
        <v>356</v>
      </c>
      <c r="D597">
        <v>70.472999999999999</v>
      </c>
      <c r="E597" t="str">
        <f t="shared" si="19"/>
        <v>70473</v>
      </c>
      <c r="F597" t="s">
        <v>750</v>
      </c>
      <c r="G597" t="str">
        <f t="shared" si="18"/>
        <v>Morroa, Sucre, 70473</v>
      </c>
    </row>
    <row r="598" spans="1:7" x14ac:dyDescent="0.25">
      <c r="A598" t="s">
        <v>17</v>
      </c>
      <c r="B598">
        <v>25</v>
      </c>
      <c r="C598" t="s">
        <v>409</v>
      </c>
      <c r="D598">
        <v>25.472999999999999</v>
      </c>
      <c r="E598" t="str">
        <f t="shared" si="19"/>
        <v>25473</v>
      </c>
      <c r="F598" t="s">
        <v>456</v>
      </c>
      <c r="G598" t="str">
        <f t="shared" si="18"/>
        <v>Mosquera, Cundinamarca, 25473</v>
      </c>
    </row>
    <row r="599" spans="1:7" x14ac:dyDescent="0.25">
      <c r="A599" t="s">
        <v>62</v>
      </c>
      <c r="B599">
        <v>52</v>
      </c>
      <c r="C599" t="s">
        <v>84</v>
      </c>
      <c r="D599">
        <v>52.472999999999999</v>
      </c>
      <c r="E599" t="str">
        <f t="shared" si="19"/>
        <v>52473</v>
      </c>
      <c r="F599" t="s">
        <v>456</v>
      </c>
      <c r="G599" t="str">
        <f t="shared" si="18"/>
        <v>Mosquera, Nariño, 52473</v>
      </c>
    </row>
    <row r="600" spans="1:7" x14ac:dyDescent="0.25">
      <c r="A600" t="s">
        <v>17</v>
      </c>
      <c r="B600">
        <v>15</v>
      </c>
      <c r="C600" t="s">
        <v>18</v>
      </c>
      <c r="D600">
        <v>15.476000000000001</v>
      </c>
      <c r="E600" t="str">
        <f t="shared" si="19"/>
        <v>15476</v>
      </c>
      <c r="F600" t="s">
        <v>40</v>
      </c>
      <c r="G600" t="str">
        <f t="shared" si="18"/>
        <v>Motavita, Boyacá, 15476</v>
      </c>
    </row>
    <row r="601" spans="1:7" x14ac:dyDescent="0.25">
      <c r="A601" t="s">
        <v>316</v>
      </c>
      <c r="B601">
        <v>73</v>
      </c>
      <c r="C601" t="s">
        <v>757</v>
      </c>
      <c r="D601">
        <v>73.460999999999999</v>
      </c>
      <c r="E601" t="str">
        <f t="shared" si="19"/>
        <v>73461</v>
      </c>
      <c r="F601" t="s">
        <v>779</v>
      </c>
      <c r="G601" t="str">
        <f t="shared" si="18"/>
        <v>Murillo, Tolima, 73461</v>
      </c>
    </row>
    <row r="602" spans="1:7" x14ac:dyDescent="0.25">
      <c r="A602" t="s">
        <v>5</v>
      </c>
      <c r="B602">
        <v>5</v>
      </c>
      <c r="C602" t="s">
        <v>6</v>
      </c>
      <c r="D602">
        <v>5.4749999999999996</v>
      </c>
      <c r="E602" t="str">
        <f t="shared" si="19"/>
        <v>5475</v>
      </c>
      <c r="F602" t="s">
        <v>82</v>
      </c>
      <c r="G602" t="str">
        <f t="shared" si="18"/>
        <v>Murindó, Antioquia, 5475</v>
      </c>
    </row>
    <row r="603" spans="1:7" x14ac:dyDescent="0.25">
      <c r="A603" t="s">
        <v>5</v>
      </c>
      <c r="B603">
        <v>5</v>
      </c>
      <c r="C603" t="s">
        <v>6</v>
      </c>
      <c r="D603">
        <v>5.48</v>
      </c>
      <c r="E603" t="str">
        <f t="shared" si="19"/>
        <v>548</v>
      </c>
      <c r="F603" t="s">
        <v>83</v>
      </c>
      <c r="G603" t="str">
        <f t="shared" si="18"/>
        <v>Mutatá, Antioquia, 548</v>
      </c>
    </row>
    <row r="604" spans="1:7" x14ac:dyDescent="0.25">
      <c r="A604" t="s">
        <v>17</v>
      </c>
      <c r="B604">
        <v>54</v>
      </c>
      <c r="C604" t="s">
        <v>939</v>
      </c>
      <c r="D604">
        <v>54.48</v>
      </c>
      <c r="E604" t="str">
        <f t="shared" si="19"/>
        <v>5448</v>
      </c>
      <c r="F604" t="s">
        <v>945</v>
      </c>
      <c r="G604" t="str">
        <f t="shared" si="18"/>
        <v>Mutiscua, Norte de Santander, 5448</v>
      </c>
    </row>
    <row r="605" spans="1:7" x14ac:dyDescent="0.25">
      <c r="A605" t="s">
        <v>17</v>
      </c>
      <c r="B605">
        <v>15</v>
      </c>
      <c r="C605" t="s">
        <v>18</v>
      </c>
      <c r="D605">
        <v>15.48</v>
      </c>
      <c r="E605" t="str">
        <f t="shared" si="19"/>
        <v>1548</v>
      </c>
      <c r="F605" t="s">
        <v>235</v>
      </c>
      <c r="G605" t="str">
        <f t="shared" si="18"/>
        <v>Muzo, Boyacá, 1548</v>
      </c>
    </row>
    <row r="606" spans="1:7" x14ac:dyDescent="0.25">
      <c r="A606" t="s">
        <v>5</v>
      </c>
      <c r="B606">
        <v>5</v>
      </c>
      <c r="C606" t="s">
        <v>6</v>
      </c>
      <c r="D606">
        <v>5.4829999999999997</v>
      </c>
      <c r="E606" t="str">
        <f t="shared" si="19"/>
        <v>5483</v>
      </c>
      <c r="F606" t="s">
        <v>84</v>
      </c>
      <c r="G606" t="str">
        <f t="shared" si="18"/>
        <v>Nariño, Antioquia, 5483</v>
      </c>
    </row>
    <row r="607" spans="1:7" x14ac:dyDescent="0.25">
      <c r="A607" t="s">
        <v>17</v>
      </c>
      <c r="B607">
        <v>25</v>
      </c>
      <c r="C607" t="s">
        <v>409</v>
      </c>
      <c r="D607">
        <v>25.483000000000001</v>
      </c>
      <c r="E607" t="str">
        <f t="shared" si="19"/>
        <v>25483</v>
      </c>
      <c r="F607" t="s">
        <v>84</v>
      </c>
      <c r="G607" t="str">
        <f t="shared" si="18"/>
        <v>Nariño, Cundinamarca, 25483</v>
      </c>
    </row>
    <row r="608" spans="1:7" x14ac:dyDescent="0.25">
      <c r="A608" t="s">
        <v>62</v>
      </c>
      <c r="B608">
        <v>52</v>
      </c>
      <c r="C608" t="s">
        <v>84</v>
      </c>
      <c r="D608">
        <v>52.48</v>
      </c>
      <c r="E608" t="str">
        <f t="shared" si="19"/>
        <v>5248</v>
      </c>
      <c r="F608" t="s">
        <v>84</v>
      </c>
      <c r="G608" t="str">
        <f t="shared" si="18"/>
        <v>Nariño, Nariño, 5248</v>
      </c>
    </row>
    <row r="609" spans="1:7" x14ac:dyDescent="0.25">
      <c r="A609" t="s">
        <v>316</v>
      </c>
      <c r="B609">
        <v>41</v>
      </c>
      <c r="C609" t="s">
        <v>525</v>
      </c>
      <c r="D609">
        <v>41.482999999999997</v>
      </c>
      <c r="E609" t="str">
        <f t="shared" si="19"/>
        <v>41483</v>
      </c>
      <c r="F609" t="s">
        <v>543</v>
      </c>
      <c r="G609" t="str">
        <f t="shared" si="18"/>
        <v>Nátaga, Huila, 41483</v>
      </c>
    </row>
    <row r="610" spans="1:7" x14ac:dyDescent="0.25">
      <c r="A610" t="s">
        <v>316</v>
      </c>
      <c r="B610">
        <v>73</v>
      </c>
      <c r="C610" t="s">
        <v>757</v>
      </c>
      <c r="D610">
        <v>73.483000000000004</v>
      </c>
      <c r="E610" t="str">
        <f t="shared" si="19"/>
        <v>73483</v>
      </c>
      <c r="F610" t="s">
        <v>780</v>
      </c>
      <c r="G610" t="str">
        <f t="shared" si="18"/>
        <v>Natagaima, Tolima, 73483</v>
      </c>
    </row>
    <row r="611" spans="1:7" x14ac:dyDescent="0.25">
      <c r="A611" t="s">
        <v>5</v>
      </c>
      <c r="B611">
        <v>5</v>
      </c>
      <c r="C611" t="s">
        <v>6</v>
      </c>
      <c r="D611">
        <v>5.4950000000000001</v>
      </c>
      <c r="E611" t="str">
        <f t="shared" si="19"/>
        <v>5495</v>
      </c>
      <c r="F611" t="s">
        <v>86</v>
      </c>
      <c r="G611" t="str">
        <f t="shared" si="18"/>
        <v>Nechí, Antioquia, 5495</v>
      </c>
    </row>
    <row r="612" spans="1:7" x14ac:dyDescent="0.25">
      <c r="A612" t="s">
        <v>5</v>
      </c>
      <c r="B612">
        <v>5</v>
      </c>
      <c r="C612" t="s">
        <v>6</v>
      </c>
      <c r="D612">
        <v>5.49</v>
      </c>
      <c r="E612" t="str">
        <f t="shared" si="19"/>
        <v>549</v>
      </c>
      <c r="F612" t="s">
        <v>85</v>
      </c>
      <c r="G612" t="str">
        <f t="shared" si="18"/>
        <v>Necoclí, Antioquia, 549</v>
      </c>
    </row>
    <row r="613" spans="1:7" x14ac:dyDescent="0.25">
      <c r="A613" t="s">
        <v>5</v>
      </c>
      <c r="B613">
        <v>17</v>
      </c>
      <c r="C613" t="s">
        <v>34</v>
      </c>
      <c r="D613">
        <v>17.486000000000001</v>
      </c>
      <c r="E613" t="str">
        <f t="shared" si="19"/>
        <v>17486</v>
      </c>
      <c r="F613" t="s">
        <v>302</v>
      </c>
      <c r="G613" t="str">
        <f t="shared" si="18"/>
        <v>Neira, Caldas, 17486</v>
      </c>
    </row>
    <row r="614" spans="1:7" x14ac:dyDescent="0.25">
      <c r="A614" t="s">
        <v>316</v>
      </c>
      <c r="B614">
        <v>41</v>
      </c>
      <c r="C614" t="s">
        <v>525</v>
      </c>
      <c r="D614">
        <v>41.000999999999998</v>
      </c>
      <c r="E614" t="str">
        <f t="shared" si="19"/>
        <v>41001</v>
      </c>
      <c r="F614" t="s">
        <v>526</v>
      </c>
      <c r="G614" t="str">
        <f t="shared" si="18"/>
        <v>Neiva, Huila, 41001</v>
      </c>
    </row>
    <row r="615" spans="1:7" x14ac:dyDescent="0.25">
      <c r="A615" t="s">
        <v>17</v>
      </c>
      <c r="B615">
        <v>25</v>
      </c>
      <c r="C615" t="s">
        <v>409</v>
      </c>
      <c r="D615">
        <v>25.486000000000001</v>
      </c>
      <c r="E615" t="str">
        <f t="shared" si="19"/>
        <v>25486</v>
      </c>
      <c r="F615" t="s">
        <v>457</v>
      </c>
      <c r="G615" t="str">
        <f t="shared" si="18"/>
        <v>Nemocón, Cundinamarca, 25486</v>
      </c>
    </row>
    <row r="616" spans="1:7" x14ac:dyDescent="0.25">
      <c r="A616" t="s">
        <v>17</v>
      </c>
      <c r="B616">
        <v>25</v>
      </c>
      <c r="C616" t="s">
        <v>409</v>
      </c>
      <c r="D616">
        <v>25.488</v>
      </c>
      <c r="E616" t="str">
        <f t="shared" si="19"/>
        <v>25488</v>
      </c>
      <c r="F616" t="s">
        <v>458</v>
      </c>
      <c r="G616" t="str">
        <f t="shared" si="18"/>
        <v>Nilo, Cundinamarca, 25488</v>
      </c>
    </row>
    <row r="617" spans="1:7" x14ac:dyDescent="0.25">
      <c r="A617" t="s">
        <v>17</v>
      </c>
      <c r="B617">
        <v>25</v>
      </c>
      <c r="C617" t="s">
        <v>409</v>
      </c>
      <c r="D617">
        <v>25.489000000000001</v>
      </c>
      <c r="E617" t="str">
        <f t="shared" si="19"/>
        <v>25489</v>
      </c>
      <c r="F617" t="s">
        <v>459</v>
      </c>
      <c r="G617" t="str">
        <f t="shared" si="18"/>
        <v>Nimaima, Cundinamarca, 25489</v>
      </c>
    </row>
    <row r="618" spans="1:7" x14ac:dyDescent="0.25">
      <c r="A618" t="s">
        <v>17</v>
      </c>
      <c r="B618">
        <v>15</v>
      </c>
      <c r="C618" t="s">
        <v>18</v>
      </c>
      <c r="D618">
        <v>15.491</v>
      </c>
      <c r="E618" t="str">
        <f t="shared" si="19"/>
        <v>15491</v>
      </c>
      <c r="F618" t="s">
        <v>236</v>
      </c>
      <c r="G618" t="str">
        <f t="shared" si="18"/>
        <v>Nobsa, Boyacá, 15491</v>
      </c>
    </row>
    <row r="619" spans="1:7" x14ac:dyDescent="0.25">
      <c r="A619" t="s">
        <v>17</v>
      </c>
      <c r="B619">
        <v>25</v>
      </c>
      <c r="C619" t="s">
        <v>409</v>
      </c>
      <c r="D619">
        <v>25.491</v>
      </c>
      <c r="E619" t="str">
        <f t="shared" si="19"/>
        <v>25491</v>
      </c>
      <c r="F619" t="s">
        <v>460</v>
      </c>
      <c r="G619" t="str">
        <f t="shared" si="18"/>
        <v>Nocaima, Cundinamarca, 25491</v>
      </c>
    </row>
    <row r="620" spans="1:7" x14ac:dyDescent="0.25">
      <c r="A620" t="s">
        <v>5</v>
      </c>
      <c r="B620">
        <v>17</v>
      </c>
      <c r="C620" t="s">
        <v>34</v>
      </c>
      <c r="D620">
        <v>17.495000000000001</v>
      </c>
      <c r="E620" t="str">
        <f t="shared" si="19"/>
        <v>17495</v>
      </c>
      <c r="F620" t="s">
        <v>303</v>
      </c>
      <c r="G620" t="str">
        <f t="shared" si="18"/>
        <v>Norcasia, Caldas, 17495</v>
      </c>
    </row>
    <row r="621" spans="1:7" x14ac:dyDescent="0.25">
      <c r="A621" t="s">
        <v>56</v>
      </c>
      <c r="B621">
        <v>13</v>
      </c>
      <c r="C621" t="s">
        <v>154</v>
      </c>
      <c r="D621">
        <v>13.49</v>
      </c>
      <c r="E621" t="str">
        <f t="shared" si="19"/>
        <v>1349</v>
      </c>
      <c r="F621" t="s">
        <v>170</v>
      </c>
      <c r="G621" t="str">
        <f t="shared" si="18"/>
        <v>Norosí, Bolívar, 1349</v>
      </c>
    </row>
    <row r="622" spans="1:7" x14ac:dyDescent="0.25">
      <c r="A622" t="s">
        <v>62</v>
      </c>
      <c r="B622">
        <v>27</v>
      </c>
      <c r="C622" t="s">
        <v>63</v>
      </c>
      <c r="D622">
        <v>27.491</v>
      </c>
      <c r="E622" t="str">
        <f t="shared" si="19"/>
        <v>27491</v>
      </c>
      <c r="F622" t="s">
        <v>519</v>
      </c>
      <c r="G622" t="str">
        <f t="shared" si="18"/>
        <v>Nóvita, Chocó, 27491</v>
      </c>
    </row>
    <row r="623" spans="1:7" x14ac:dyDescent="0.25">
      <c r="A623" t="s">
        <v>56</v>
      </c>
      <c r="B623">
        <v>47</v>
      </c>
      <c r="C623" t="s">
        <v>570</v>
      </c>
      <c r="D623">
        <v>47.46</v>
      </c>
      <c r="E623" t="str">
        <f t="shared" si="19"/>
        <v>4746</v>
      </c>
      <c r="F623" t="s">
        <v>582</v>
      </c>
      <c r="G623" t="str">
        <f t="shared" si="18"/>
        <v>Nueva Granada, Magdalena, 4746</v>
      </c>
    </row>
    <row r="624" spans="1:7" x14ac:dyDescent="0.25">
      <c r="A624" t="s">
        <v>17</v>
      </c>
      <c r="B624">
        <v>15</v>
      </c>
      <c r="C624" t="s">
        <v>18</v>
      </c>
      <c r="D624">
        <v>15.494</v>
      </c>
      <c r="E624" t="str">
        <f t="shared" si="19"/>
        <v>15494</v>
      </c>
      <c r="F624" t="s">
        <v>237</v>
      </c>
      <c r="G624" t="str">
        <f t="shared" si="18"/>
        <v>Nuevo Colón, Boyacá, 15494</v>
      </c>
    </row>
    <row r="625" spans="1:7" x14ac:dyDescent="0.25">
      <c r="A625" t="s">
        <v>117</v>
      </c>
      <c r="B625">
        <v>85</v>
      </c>
      <c r="C625" t="s">
        <v>802</v>
      </c>
      <c r="D625">
        <v>85.224999999999994</v>
      </c>
      <c r="E625" t="str">
        <f t="shared" si="19"/>
        <v>85225</v>
      </c>
      <c r="F625" t="s">
        <v>1005</v>
      </c>
      <c r="G625" t="str">
        <f t="shared" si="18"/>
        <v>Nunchía, Casanare, 85225</v>
      </c>
    </row>
    <row r="626" spans="1:7" x14ac:dyDescent="0.25">
      <c r="A626" t="s">
        <v>62</v>
      </c>
      <c r="B626">
        <v>27</v>
      </c>
      <c r="C626" t="s">
        <v>63</v>
      </c>
      <c r="D626">
        <v>27.495000000000001</v>
      </c>
      <c r="E626" t="str">
        <f t="shared" si="19"/>
        <v>27495</v>
      </c>
      <c r="F626" t="s">
        <v>520</v>
      </c>
      <c r="G626" t="str">
        <f t="shared" si="18"/>
        <v>Nuquí, Chocó, 27495</v>
      </c>
    </row>
    <row r="627" spans="1:7" x14ac:dyDescent="0.25">
      <c r="A627" t="s">
        <v>62</v>
      </c>
      <c r="B627">
        <v>76</v>
      </c>
      <c r="C627" t="s">
        <v>942</v>
      </c>
      <c r="D627">
        <v>76.497</v>
      </c>
      <c r="E627" t="str">
        <f t="shared" si="19"/>
        <v>76497</v>
      </c>
      <c r="F627" t="s">
        <v>970</v>
      </c>
      <c r="G627" t="str">
        <f t="shared" si="18"/>
        <v>Obando, Valle del Cauca, 76497</v>
      </c>
    </row>
    <row r="628" spans="1:7" x14ac:dyDescent="0.25">
      <c r="A628" t="s">
        <v>17</v>
      </c>
      <c r="B628">
        <v>68</v>
      </c>
      <c r="C628" t="s">
        <v>104</v>
      </c>
      <c r="D628">
        <v>68.498000000000005</v>
      </c>
      <c r="E628" t="str">
        <f t="shared" si="19"/>
        <v>68498</v>
      </c>
      <c r="F628" t="s">
        <v>720</v>
      </c>
      <c r="G628" t="str">
        <f t="shared" si="18"/>
        <v>Ocamonte, Santander, 68498</v>
      </c>
    </row>
    <row r="629" spans="1:7" x14ac:dyDescent="0.25">
      <c r="A629" t="s">
        <v>17</v>
      </c>
      <c r="B629">
        <v>54</v>
      </c>
      <c r="C629" t="s">
        <v>939</v>
      </c>
      <c r="D629">
        <v>54.497999999999998</v>
      </c>
      <c r="E629" t="str">
        <f t="shared" si="19"/>
        <v>54498</v>
      </c>
      <c r="F629" t="s">
        <v>987</v>
      </c>
      <c r="G629" t="str">
        <f t="shared" si="18"/>
        <v>Ocaña, Norte de Santander, 54498</v>
      </c>
    </row>
    <row r="630" spans="1:7" x14ac:dyDescent="0.25">
      <c r="A630" t="s">
        <v>17</v>
      </c>
      <c r="B630">
        <v>68</v>
      </c>
      <c r="C630" t="s">
        <v>104</v>
      </c>
      <c r="D630">
        <v>68.5</v>
      </c>
      <c r="E630" t="str">
        <f t="shared" si="19"/>
        <v>685</v>
      </c>
      <c r="F630" t="s">
        <v>721</v>
      </c>
      <c r="G630" t="str">
        <f t="shared" si="18"/>
        <v>Oiba, Santander, 685</v>
      </c>
    </row>
    <row r="631" spans="1:7" x14ac:dyDescent="0.25">
      <c r="A631" t="s">
        <v>17</v>
      </c>
      <c r="B631">
        <v>15</v>
      </c>
      <c r="C631" t="s">
        <v>18</v>
      </c>
      <c r="D631">
        <v>15.5</v>
      </c>
      <c r="E631" t="str">
        <f t="shared" si="19"/>
        <v>155</v>
      </c>
      <c r="F631" t="s">
        <v>238</v>
      </c>
      <c r="G631" t="str">
        <f t="shared" si="18"/>
        <v>Oicatá, Boyacá, 155</v>
      </c>
    </row>
    <row r="632" spans="1:7" x14ac:dyDescent="0.25">
      <c r="A632" t="s">
        <v>62</v>
      </c>
      <c r="B632">
        <v>52</v>
      </c>
      <c r="C632" t="s">
        <v>84</v>
      </c>
      <c r="D632">
        <v>52.49</v>
      </c>
      <c r="E632" t="str">
        <f t="shared" si="19"/>
        <v>5249</v>
      </c>
      <c r="F632" t="s">
        <v>642</v>
      </c>
      <c r="G632" t="str">
        <f t="shared" si="18"/>
        <v>Olaya Herrera, Nariño, 5249</v>
      </c>
    </row>
    <row r="633" spans="1:7" x14ac:dyDescent="0.25">
      <c r="A633" t="s">
        <v>5</v>
      </c>
      <c r="B633">
        <v>5</v>
      </c>
      <c r="C633" t="s">
        <v>6</v>
      </c>
      <c r="D633">
        <v>5.5010000000000003</v>
      </c>
      <c r="E633" t="str">
        <f t="shared" si="19"/>
        <v>5501</v>
      </c>
      <c r="F633" t="s">
        <v>87</v>
      </c>
      <c r="G633" t="str">
        <f t="shared" si="18"/>
        <v>Olaya, Antioquia, 5501</v>
      </c>
    </row>
    <row r="634" spans="1:7" x14ac:dyDescent="0.25">
      <c r="A634" t="s">
        <v>17</v>
      </c>
      <c r="B634">
        <v>68</v>
      </c>
      <c r="C634" t="s">
        <v>104</v>
      </c>
      <c r="D634">
        <v>68.501999999999995</v>
      </c>
      <c r="E634" t="str">
        <f t="shared" si="19"/>
        <v>68502</v>
      </c>
      <c r="F634" t="s">
        <v>722</v>
      </c>
      <c r="G634" t="str">
        <f t="shared" si="18"/>
        <v>Onzaga, Santander, 68502</v>
      </c>
    </row>
    <row r="635" spans="1:7" x14ac:dyDescent="0.25">
      <c r="A635" t="s">
        <v>316</v>
      </c>
      <c r="B635">
        <v>41</v>
      </c>
      <c r="C635" t="s">
        <v>525</v>
      </c>
      <c r="D635">
        <v>41.503</v>
      </c>
      <c r="E635" t="str">
        <f t="shared" si="19"/>
        <v>41503</v>
      </c>
      <c r="F635" t="s">
        <v>544</v>
      </c>
      <c r="G635" t="str">
        <f t="shared" si="18"/>
        <v>Oporapa, Huila, 41503</v>
      </c>
    </row>
    <row r="636" spans="1:7" x14ac:dyDescent="0.25">
      <c r="A636" t="s">
        <v>316</v>
      </c>
      <c r="B636">
        <v>86</v>
      </c>
      <c r="C636" t="s">
        <v>814</v>
      </c>
      <c r="D636">
        <v>86.32</v>
      </c>
      <c r="E636" t="str">
        <f t="shared" si="19"/>
        <v>8632</v>
      </c>
      <c r="F636" t="s">
        <v>816</v>
      </c>
      <c r="G636" t="str">
        <f t="shared" si="18"/>
        <v>Orito, Putumayo, 8632</v>
      </c>
    </row>
    <row r="637" spans="1:7" x14ac:dyDescent="0.25">
      <c r="A637" t="s">
        <v>117</v>
      </c>
      <c r="B637">
        <v>85</v>
      </c>
      <c r="C637" t="s">
        <v>802</v>
      </c>
      <c r="D637">
        <v>85.23</v>
      </c>
      <c r="E637" t="str">
        <f t="shared" si="19"/>
        <v>8523</v>
      </c>
      <c r="F637" t="s">
        <v>1044</v>
      </c>
      <c r="G637" t="str">
        <f t="shared" si="18"/>
        <v>Orocué, Casanare, 8523</v>
      </c>
    </row>
    <row r="638" spans="1:7" x14ac:dyDescent="0.25">
      <c r="A638" t="s">
        <v>316</v>
      </c>
      <c r="B638">
        <v>73</v>
      </c>
      <c r="C638" t="s">
        <v>757</v>
      </c>
      <c r="D638">
        <v>73.504000000000005</v>
      </c>
      <c r="E638" t="str">
        <f t="shared" si="19"/>
        <v>73504</v>
      </c>
      <c r="F638" t="s">
        <v>781</v>
      </c>
      <c r="G638" t="str">
        <f t="shared" si="18"/>
        <v>Ortega, Tolima, 73504</v>
      </c>
    </row>
    <row r="639" spans="1:7" x14ac:dyDescent="0.25">
      <c r="A639" t="s">
        <v>62</v>
      </c>
      <c r="B639">
        <v>52</v>
      </c>
      <c r="C639" t="s">
        <v>84</v>
      </c>
      <c r="D639">
        <v>52.506</v>
      </c>
      <c r="E639" t="str">
        <f t="shared" si="19"/>
        <v>52506</v>
      </c>
      <c r="F639" t="s">
        <v>643</v>
      </c>
      <c r="G639" t="str">
        <f t="shared" si="18"/>
        <v>Ospina, Nariño, 52506</v>
      </c>
    </row>
    <row r="640" spans="1:7" x14ac:dyDescent="0.25">
      <c r="A640" t="s">
        <v>17</v>
      </c>
      <c r="B640">
        <v>15</v>
      </c>
      <c r="C640" t="s">
        <v>18</v>
      </c>
      <c r="D640">
        <v>15.507</v>
      </c>
      <c r="E640" t="str">
        <f t="shared" si="19"/>
        <v>15507</v>
      </c>
      <c r="F640" t="s">
        <v>239</v>
      </c>
      <c r="G640" t="str">
        <f t="shared" si="18"/>
        <v>Otanche, Boyacá, 15507</v>
      </c>
    </row>
    <row r="641" spans="1:7" x14ac:dyDescent="0.25">
      <c r="A641" t="s">
        <v>56</v>
      </c>
      <c r="B641">
        <v>70</v>
      </c>
      <c r="C641" t="s">
        <v>356</v>
      </c>
      <c r="D641">
        <v>70.507999999999996</v>
      </c>
      <c r="E641" t="str">
        <f t="shared" si="19"/>
        <v>70508</v>
      </c>
      <c r="F641" t="s">
        <v>751</v>
      </c>
      <c r="G641" t="str">
        <f t="shared" si="18"/>
        <v>Ovejas, Sucre, 70508</v>
      </c>
    </row>
    <row r="642" spans="1:7" x14ac:dyDescent="0.25">
      <c r="A642" t="s">
        <v>17</v>
      </c>
      <c r="B642">
        <v>15</v>
      </c>
      <c r="C642" t="s">
        <v>18</v>
      </c>
      <c r="D642">
        <v>15.510999999999999</v>
      </c>
      <c r="E642" t="str">
        <f t="shared" si="19"/>
        <v>15511</v>
      </c>
      <c r="F642" t="s">
        <v>240</v>
      </c>
      <c r="G642" t="str">
        <f t="shared" ref="G642:G705" si="20">_xlfn.CONCAT(F642,", ",C642,", ",E642)</f>
        <v>Pachavita, Boyacá, 15511</v>
      </c>
    </row>
    <row r="643" spans="1:7" x14ac:dyDescent="0.25">
      <c r="A643" t="s">
        <v>17</v>
      </c>
      <c r="B643">
        <v>25</v>
      </c>
      <c r="C643" t="s">
        <v>409</v>
      </c>
      <c r="D643">
        <v>25.513000000000002</v>
      </c>
      <c r="E643" t="str">
        <f t="shared" ref="E643:E706" si="21">SUBSTITUTE(D643, ".", "",1)</f>
        <v>25513</v>
      </c>
      <c r="F643" t="s">
        <v>461</v>
      </c>
      <c r="G643" t="str">
        <f t="shared" si="20"/>
        <v>Pacho, Cundinamarca, 25513</v>
      </c>
    </row>
    <row r="644" spans="1:7" x14ac:dyDescent="0.25">
      <c r="A644" t="s">
        <v>316</v>
      </c>
      <c r="B644">
        <v>97</v>
      </c>
      <c r="C644" t="s">
        <v>840</v>
      </c>
      <c r="D644">
        <v>97.510999999999996</v>
      </c>
      <c r="E644" t="str">
        <f t="shared" si="21"/>
        <v>97511</v>
      </c>
      <c r="F644" t="s">
        <v>846</v>
      </c>
      <c r="G644" t="str">
        <f t="shared" si="20"/>
        <v>Pacoa, Vaupés, 97511</v>
      </c>
    </row>
    <row r="645" spans="1:7" x14ac:dyDescent="0.25">
      <c r="A645" t="s">
        <v>5</v>
      </c>
      <c r="B645">
        <v>17</v>
      </c>
      <c r="C645" t="s">
        <v>34</v>
      </c>
      <c r="D645">
        <v>17.513000000000002</v>
      </c>
      <c r="E645" t="str">
        <f t="shared" si="21"/>
        <v>17513</v>
      </c>
      <c r="F645" t="s">
        <v>304</v>
      </c>
      <c r="G645" t="str">
        <f t="shared" si="20"/>
        <v>Pácora, Caldas, 17513</v>
      </c>
    </row>
    <row r="646" spans="1:7" x14ac:dyDescent="0.25">
      <c r="A646" t="s">
        <v>62</v>
      </c>
      <c r="B646">
        <v>19</v>
      </c>
      <c r="C646" t="s">
        <v>327</v>
      </c>
      <c r="D646">
        <v>19.513000000000002</v>
      </c>
      <c r="E646" t="str">
        <f t="shared" si="21"/>
        <v>19513</v>
      </c>
      <c r="F646" t="s">
        <v>346</v>
      </c>
      <c r="G646" t="str">
        <f t="shared" si="20"/>
        <v>Padilla, Cauca, 19513</v>
      </c>
    </row>
    <row r="647" spans="1:7" x14ac:dyDescent="0.25">
      <c r="A647" t="s">
        <v>17</v>
      </c>
      <c r="B647">
        <v>15</v>
      </c>
      <c r="C647" t="s">
        <v>18</v>
      </c>
      <c r="D647">
        <v>15.513999999999999</v>
      </c>
      <c r="E647" t="str">
        <f t="shared" si="21"/>
        <v>15514</v>
      </c>
      <c r="F647" t="s">
        <v>241</v>
      </c>
      <c r="G647" t="str">
        <f t="shared" si="20"/>
        <v>Páez, Boyacá, 15514</v>
      </c>
    </row>
    <row r="648" spans="1:7" x14ac:dyDescent="0.25">
      <c r="A648" t="s">
        <v>62</v>
      </c>
      <c r="B648">
        <v>19</v>
      </c>
      <c r="C648" t="s">
        <v>327</v>
      </c>
      <c r="D648">
        <v>19.516999999999999</v>
      </c>
      <c r="E648" t="str">
        <f t="shared" si="21"/>
        <v>19517</v>
      </c>
      <c r="F648" t="s">
        <v>241</v>
      </c>
      <c r="G648" t="str">
        <f t="shared" si="20"/>
        <v>Páez, Cauca, 19517</v>
      </c>
    </row>
    <row r="649" spans="1:7" x14ac:dyDescent="0.25">
      <c r="A649" t="s">
        <v>316</v>
      </c>
      <c r="B649">
        <v>41</v>
      </c>
      <c r="C649" t="s">
        <v>525</v>
      </c>
      <c r="D649">
        <v>41.518000000000001</v>
      </c>
      <c r="E649" t="str">
        <f t="shared" si="21"/>
        <v>41518</v>
      </c>
      <c r="F649" t="s">
        <v>545</v>
      </c>
      <c r="G649" t="str">
        <f t="shared" si="20"/>
        <v>Paicol, Huila, 41518</v>
      </c>
    </row>
    <row r="650" spans="1:7" x14ac:dyDescent="0.25">
      <c r="A650" t="s">
        <v>56</v>
      </c>
      <c r="B650">
        <v>20</v>
      </c>
      <c r="C650" t="s">
        <v>362</v>
      </c>
      <c r="D650">
        <v>20.516999999999999</v>
      </c>
      <c r="E650" t="str">
        <f t="shared" si="21"/>
        <v>20517</v>
      </c>
      <c r="F650" t="s">
        <v>378</v>
      </c>
      <c r="G650" t="str">
        <f t="shared" si="20"/>
        <v>Pailitas, Cesar, 20517</v>
      </c>
    </row>
    <row r="651" spans="1:7" x14ac:dyDescent="0.25">
      <c r="A651" t="s">
        <v>17</v>
      </c>
      <c r="B651">
        <v>25</v>
      </c>
      <c r="C651" t="s">
        <v>409</v>
      </c>
      <c r="D651">
        <v>25.518000000000001</v>
      </c>
      <c r="E651" t="str">
        <f t="shared" si="21"/>
        <v>25518</v>
      </c>
      <c r="F651" t="s">
        <v>462</v>
      </c>
      <c r="G651" t="str">
        <f t="shared" si="20"/>
        <v>Paime, Cundinamarca, 25518</v>
      </c>
    </row>
    <row r="652" spans="1:7" x14ac:dyDescent="0.25">
      <c r="A652" t="s">
        <v>17</v>
      </c>
      <c r="B652">
        <v>15</v>
      </c>
      <c r="C652" t="s">
        <v>18</v>
      </c>
      <c r="D652">
        <v>15.516</v>
      </c>
      <c r="E652" t="str">
        <f t="shared" si="21"/>
        <v>15516</v>
      </c>
      <c r="F652" t="s">
        <v>242</v>
      </c>
      <c r="G652" t="str">
        <f t="shared" si="20"/>
        <v>Paipa, Boyacá, 15516</v>
      </c>
    </row>
    <row r="653" spans="1:7" x14ac:dyDescent="0.25">
      <c r="A653" t="s">
        <v>17</v>
      </c>
      <c r="B653">
        <v>15</v>
      </c>
      <c r="C653" t="s">
        <v>18</v>
      </c>
      <c r="D653">
        <v>15.518000000000001</v>
      </c>
      <c r="E653" t="str">
        <f t="shared" si="21"/>
        <v>15518</v>
      </c>
      <c r="F653" t="s">
        <v>243</v>
      </c>
      <c r="G653" t="str">
        <f t="shared" si="20"/>
        <v>Pajarito, Boyacá, 15518</v>
      </c>
    </row>
    <row r="654" spans="1:7" x14ac:dyDescent="0.25">
      <c r="A654" t="s">
        <v>316</v>
      </c>
      <c r="B654">
        <v>41</v>
      </c>
      <c r="C654" t="s">
        <v>525</v>
      </c>
      <c r="D654">
        <v>41.524000000000001</v>
      </c>
      <c r="E654" t="str">
        <f t="shared" si="21"/>
        <v>41524</v>
      </c>
      <c r="F654" t="s">
        <v>546</v>
      </c>
      <c r="G654" t="str">
        <f t="shared" si="20"/>
        <v>Palermo, Huila, 41524</v>
      </c>
    </row>
    <row r="655" spans="1:7" x14ac:dyDescent="0.25">
      <c r="A655" t="s">
        <v>5</v>
      </c>
      <c r="B655">
        <v>17</v>
      </c>
      <c r="C655" t="s">
        <v>34</v>
      </c>
      <c r="D655">
        <v>17.524000000000001</v>
      </c>
      <c r="E655" t="str">
        <f t="shared" si="21"/>
        <v>17524</v>
      </c>
      <c r="F655" t="s">
        <v>305</v>
      </c>
      <c r="G655" t="str">
        <f t="shared" si="20"/>
        <v>Palestina, Caldas, 17524</v>
      </c>
    </row>
    <row r="656" spans="1:7" x14ac:dyDescent="0.25">
      <c r="A656" t="s">
        <v>316</v>
      </c>
      <c r="B656">
        <v>41</v>
      </c>
      <c r="C656" t="s">
        <v>525</v>
      </c>
      <c r="D656">
        <v>41.53</v>
      </c>
      <c r="E656" t="str">
        <f t="shared" si="21"/>
        <v>4153</v>
      </c>
      <c r="F656" t="s">
        <v>305</v>
      </c>
      <c r="G656" t="str">
        <f t="shared" si="20"/>
        <v>Palestina, Huila, 4153</v>
      </c>
    </row>
    <row r="657" spans="1:7" x14ac:dyDescent="0.25">
      <c r="A657" t="s">
        <v>56</v>
      </c>
      <c r="B657">
        <v>8</v>
      </c>
      <c r="C657" t="s">
        <v>137</v>
      </c>
      <c r="D657">
        <v>8.52</v>
      </c>
      <c r="E657" t="str">
        <f t="shared" si="21"/>
        <v>852</v>
      </c>
      <c r="F657" t="s">
        <v>879</v>
      </c>
      <c r="G657" t="str">
        <f t="shared" si="20"/>
        <v>Palmar de Varela, Atlántico, 852</v>
      </c>
    </row>
    <row r="658" spans="1:7" x14ac:dyDescent="0.25">
      <c r="A658" t="s">
        <v>17</v>
      </c>
      <c r="B658">
        <v>68</v>
      </c>
      <c r="C658" t="s">
        <v>104</v>
      </c>
      <c r="D658">
        <v>68.522000000000006</v>
      </c>
      <c r="E658" t="str">
        <f t="shared" si="21"/>
        <v>68522</v>
      </c>
      <c r="F658" t="s">
        <v>723</v>
      </c>
      <c r="G658" t="str">
        <f t="shared" si="20"/>
        <v>Palmar, Santander, 68522</v>
      </c>
    </row>
    <row r="659" spans="1:7" x14ac:dyDescent="0.25">
      <c r="A659" t="s">
        <v>17</v>
      </c>
      <c r="B659">
        <v>68</v>
      </c>
      <c r="C659" t="s">
        <v>104</v>
      </c>
      <c r="D659">
        <v>68.524000000000001</v>
      </c>
      <c r="E659" t="str">
        <f t="shared" si="21"/>
        <v>68524</v>
      </c>
      <c r="F659" t="s">
        <v>855</v>
      </c>
      <c r="G659" t="str">
        <f t="shared" si="20"/>
        <v>Palmas del Socorro, Santander, 68524</v>
      </c>
    </row>
    <row r="660" spans="1:7" x14ac:dyDescent="0.25">
      <c r="A660" t="s">
        <v>62</v>
      </c>
      <c r="B660">
        <v>76</v>
      </c>
      <c r="C660" t="s">
        <v>942</v>
      </c>
      <c r="D660">
        <v>76.52</v>
      </c>
      <c r="E660" t="str">
        <f t="shared" si="21"/>
        <v>7652</v>
      </c>
      <c r="F660" t="s">
        <v>990</v>
      </c>
      <c r="G660" t="str">
        <f t="shared" si="20"/>
        <v>Palmira, Valle del Cauca, 7652</v>
      </c>
    </row>
    <row r="661" spans="1:7" x14ac:dyDescent="0.25">
      <c r="A661" t="s">
        <v>56</v>
      </c>
      <c r="B661">
        <v>70</v>
      </c>
      <c r="C661" t="s">
        <v>356</v>
      </c>
      <c r="D661">
        <v>70.522999999999996</v>
      </c>
      <c r="E661" t="str">
        <f t="shared" si="21"/>
        <v>70523</v>
      </c>
      <c r="F661" t="s">
        <v>752</v>
      </c>
      <c r="G661" t="str">
        <f t="shared" si="20"/>
        <v>Palmito, Sucre, 70523</v>
      </c>
    </row>
    <row r="662" spans="1:7" x14ac:dyDescent="0.25">
      <c r="A662" t="s">
        <v>316</v>
      </c>
      <c r="B662">
        <v>73</v>
      </c>
      <c r="C662" t="s">
        <v>757</v>
      </c>
      <c r="D662">
        <v>73.52</v>
      </c>
      <c r="E662" t="str">
        <f t="shared" si="21"/>
        <v>7352</v>
      </c>
      <c r="F662" t="s">
        <v>782</v>
      </c>
      <c r="G662" t="str">
        <f t="shared" si="20"/>
        <v>Palocabildo, Tolima, 7352</v>
      </c>
    </row>
    <row r="663" spans="1:7" x14ac:dyDescent="0.25">
      <c r="A663" t="s">
        <v>17</v>
      </c>
      <c r="B663">
        <v>54</v>
      </c>
      <c r="C663" t="s">
        <v>939</v>
      </c>
      <c r="D663">
        <v>54.518000000000001</v>
      </c>
      <c r="E663" t="str">
        <f t="shared" si="21"/>
        <v>54518</v>
      </c>
      <c r="F663" t="s">
        <v>1006</v>
      </c>
      <c r="G663" t="str">
        <f t="shared" si="20"/>
        <v>Pamplona, Norte de Santander, 54518</v>
      </c>
    </row>
    <row r="664" spans="1:7" x14ac:dyDescent="0.25">
      <c r="A664" t="s">
        <v>17</v>
      </c>
      <c r="B664">
        <v>54</v>
      </c>
      <c r="C664" t="s">
        <v>939</v>
      </c>
      <c r="D664">
        <v>54.52</v>
      </c>
      <c r="E664" t="str">
        <f t="shared" si="21"/>
        <v>5452</v>
      </c>
      <c r="F664" t="s">
        <v>1024</v>
      </c>
      <c r="G664" t="str">
        <f t="shared" si="20"/>
        <v>Pamplonita, Norte de Santander, 5452</v>
      </c>
    </row>
    <row r="665" spans="1:7" x14ac:dyDescent="0.25">
      <c r="A665" t="s">
        <v>117</v>
      </c>
      <c r="B665">
        <v>94</v>
      </c>
      <c r="C665" t="s">
        <v>831</v>
      </c>
      <c r="D665">
        <v>94.887</v>
      </c>
      <c r="E665" t="str">
        <f t="shared" si="21"/>
        <v>94887</v>
      </c>
      <c r="F665" t="s">
        <v>839</v>
      </c>
      <c r="G665" t="str">
        <f t="shared" si="20"/>
        <v>Pana Pana, Guainía, 94887</v>
      </c>
    </row>
    <row r="666" spans="1:7" x14ac:dyDescent="0.25">
      <c r="A666" t="s">
        <v>17</v>
      </c>
      <c r="B666">
        <v>25</v>
      </c>
      <c r="C666" t="s">
        <v>409</v>
      </c>
      <c r="D666">
        <v>25.524000000000001</v>
      </c>
      <c r="E666" t="str">
        <f t="shared" si="21"/>
        <v>25524</v>
      </c>
      <c r="F666" t="s">
        <v>463</v>
      </c>
      <c r="G666" t="str">
        <f t="shared" si="20"/>
        <v>Pandi, Cundinamarca, 25524</v>
      </c>
    </row>
    <row r="667" spans="1:7" x14ac:dyDescent="0.25">
      <c r="A667" t="s">
        <v>17</v>
      </c>
      <c r="B667">
        <v>15</v>
      </c>
      <c r="C667" t="s">
        <v>18</v>
      </c>
      <c r="D667">
        <v>15.522</v>
      </c>
      <c r="E667" t="str">
        <f t="shared" si="21"/>
        <v>15522</v>
      </c>
      <c r="F667" t="s">
        <v>244</v>
      </c>
      <c r="G667" t="str">
        <f t="shared" si="20"/>
        <v>Panqueba, Boyacá, 15522</v>
      </c>
    </row>
    <row r="668" spans="1:7" x14ac:dyDescent="0.25">
      <c r="A668" t="s">
        <v>316</v>
      </c>
      <c r="B668">
        <v>97</v>
      </c>
      <c r="C668" t="s">
        <v>840</v>
      </c>
      <c r="D668">
        <v>97.777000000000001</v>
      </c>
      <c r="E668" t="str">
        <f t="shared" si="21"/>
        <v>97777</v>
      </c>
      <c r="F668" t="s">
        <v>844</v>
      </c>
      <c r="G668" t="str">
        <f t="shared" si="20"/>
        <v>Papunahua, Vaupés, 97777</v>
      </c>
    </row>
    <row r="669" spans="1:7" x14ac:dyDescent="0.25">
      <c r="A669" t="s">
        <v>17</v>
      </c>
      <c r="B669">
        <v>68</v>
      </c>
      <c r="C669" t="s">
        <v>104</v>
      </c>
      <c r="D669">
        <v>68.533000000000001</v>
      </c>
      <c r="E669" t="str">
        <f t="shared" si="21"/>
        <v>68533</v>
      </c>
      <c r="F669" t="s">
        <v>724</v>
      </c>
      <c r="G669" t="str">
        <f t="shared" si="20"/>
        <v>Páramo, Santander, 68533</v>
      </c>
    </row>
    <row r="670" spans="1:7" x14ac:dyDescent="0.25">
      <c r="A670" t="s">
        <v>17</v>
      </c>
      <c r="B670">
        <v>25</v>
      </c>
      <c r="C670" t="s">
        <v>409</v>
      </c>
      <c r="D670">
        <v>25.53</v>
      </c>
      <c r="E670" t="str">
        <f t="shared" si="21"/>
        <v>2553</v>
      </c>
      <c r="F670" t="s">
        <v>464</v>
      </c>
      <c r="G670" t="str">
        <f t="shared" si="20"/>
        <v>Paratebueno, Cundinamarca, 2553</v>
      </c>
    </row>
    <row r="671" spans="1:7" x14ac:dyDescent="0.25">
      <c r="A671" t="s">
        <v>17</v>
      </c>
      <c r="B671">
        <v>25</v>
      </c>
      <c r="C671" t="s">
        <v>409</v>
      </c>
      <c r="D671">
        <v>25.535</v>
      </c>
      <c r="E671" t="str">
        <f t="shared" si="21"/>
        <v>25535</v>
      </c>
      <c r="F671" t="s">
        <v>465</v>
      </c>
      <c r="G671" t="str">
        <f t="shared" si="20"/>
        <v>Pasca, Cundinamarca, 25535</v>
      </c>
    </row>
    <row r="672" spans="1:7" x14ac:dyDescent="0.25">
      <c r="A672" t="s">
        <v>62</v>
      </c>
      <c r="B672">
        <v>52</v>
      </c>
      <c r="C672" t="s">
        <v>84</v>
      </c>
      <c r="D672">
        <v>52.000999999999998</v>
      </c>
      <c r="E672" t="str">
        <f t="shared" si="21"/>
        <v>52001</v>
      </c>
      <c r="F672" t="s">
        <v>612</v>
      </c>
      <c r="G672" t="str">
        <f t="shared" si="20"/>
        <v>Pasto, Nariño, 52001</v>
      </c>
    </row>
    <row r="673" spans="1:7" x14ac:dyDescent="0.25">
      <c r="A673" t="s">
        <v>62</v>
      </c>
      <c r="B673">
        <v>19</v>
      </c>
      <c r="C673" t="s">
        <v>327</v>
      </c>
      <c r="D673">
        <v>19.532</v>
      </c>
      <c r="E673" t="str">
        <f t="shared" si="21"/>
        <v>19532</v>
      </c>
      <c r="F673" t="s">
        <v>347</v>
      </c>
      <c r="G673" t="str">
        <f t="shared" si="20"/>
        <v>Patía, Cauca, 19532</v>
      </c>
    </row>
    <row r="674" spans="1:7" x14ac:dyDescent="0.25">
      <c r="A674" t="s">
        <v>17</v>
      </c>
      <c r="B674">
        <v>15</v>
      </c>
      <c r="C674" t="s">
        <v>18</v>
      </c>
      <c r="D674">
        <v>15.531000000000001</v>
      </c>
      <c r="E674" t="str">
        <f t="shared" si="21"/>
        <v>15531</v>
      </c>
      <c r="F674" t="s">
        <v>245</v>
      </c>
      <c r="G674" t="str">
        <f t="shared" si="20"/>
        <v>Pauna, Boyacá, 15531</v>
      </c>
    </row>
    <row r="675" spans="1:7" x14ac:dyDescent="0.25">
      <c r="A675" t="s">
        <v>17</v>
      </c>
      <c r="B675">
        <v>15</v>
      </c>
      <c r="C675" t="s">
        <v>18</v>
      </c>
      <c r="D675">
        <v>15.532999999999999</v>
      </c>
      <c r="E675" t="str">
        <f t="shared" si="21"/>
        <v>15533</v>
      </c>
      <c r="F675" t="s">
        <v>246</v>
      </c>
      <c r="G675" t="str">
        <f t="shared" si="20"/>
        <v>Paya, Boyacá, 15533</v>
      </c>
    </row>
    <row r="676" spans="1:7" x14ac:dyDescent="0.25">
      <c r="A676" t="s">
        <v>117</v>
      </c>
      <c r="B676">
        <v>85</v>
      </c>
      <c r="C676" t="s">
        <v>802</v>
      </c>
      <c r="D676">
        <v>85.25</v>
      </c>
      <c r="E676" t="str">
        <f t="shared" si="21"/>
        <v>8525</v>
      </c>
      <c r="F676" t="s">
        <v>888</v>
      </c>
      <c r="G676" t="str">
        <f t="shared" si="20"/>
        <v>Paz de Ariporo, Casanare, 8525</v>
      </c>
    </row>
    <row r="677" spans="1:7" x14ac:dyDescent="0.25">
      <c r="A677" t="s">
        <v>17</v>
      </c>
      <c r="B677">
        <v>15</v>
      </c>
      <c r="C677" t="s">
        <v>18</v>
      </c>
      <c r="D677">
        <v>15.537000000000001</v>
      </c>
      <c r="E677" t="str">
        <f t="shared" si="21"/>
        <v>15537</v>
      </c>
      <c r="F677" t="s">
        <v>868</v>
      </c>
      <c r="G677" t="str">
        <f t="shared" si="20"/>
        <v>Paz de Río, Boyacá, 15537</v>
      </c>
    </row>
    <row r="678" spans="1:7" x14ac:dyDescent="0.25">
      <c r="A678" t="s">
        <v>56</v>
      </c>
      <c r="B678">
        <v>47</v>
      </c>
      <c r="C678" t="s">
        <v>570</v>
      </c>
      <c r="D678">
        <v>47.540999999999997</v>
      </c>
      <c r="E678" t="str">
        <f t="shared" si="21"/>
        <v>47541</v>
      </c>
      <c r="F678" t="s">
        <v>583</v>
      </c>
      <c r="G678" t="str">
        <f t="shared" si="20"/>
        <v>Pedraza, Magdalena, 47541</v>
      </c>
    </row>
    <row r="679" spans="1:7" x14ac:dyDescent="0.25">
      <c r="A679" t="s">
        <v>56</v>
      </c>
      <c r="B679">
        <v>20</v>
      </c>
      <c r="C679" t="s">
        <v>362</v>
      </c>
      <c r="D679">
        <v>20.55</v>
      </c>
      <c r="E679" t="str">
        <f t="shared" si="21"/>
        <v>2055</v>
      </c>
      <c r="F679" t="s">
        <v>379</v>
      </c>
      <c r="G679" t="str">
        <f t="shared" si="20"/>
        <v>Pelaya, Cesar, 2055</v>
      </c>
    </row>
    <row r="680" spans="1:7" x14ac:dyDescent="0.25">
      <c r="A680" t="s">
        <v>5</v>
      </c>
      <c r="B680">
        <v>5</v>
      </c>
      <c r="C680" t="s">
        <v>6</v>
      </c>
      <c r="D680">
        <v>5.5410000000000004</v>
      </c>
      <c r="E680" t="str">
        <f t="shared" si="21"/>
        <v>5541</v>
      </c>
      <c r="F680" t="s">
        <v>88</v>
      </c>
      <c r="G680" t="str">
        <f t="shared" si="20"/>
        <v>Peñol, Antioquia, 5541</v>
      </c>
    </row>
    <row r="681" spans="1:7" x14ac:dyDescent="0.25">
      <c r="A681" t="s">
        <v>5</v>
      </c>
      <c r="B681">
        <v>17</v>
      </c>
      <c r="C681" t="s">
        <v>34</v>
      </c>
      <c r="D681">
        <v>17.541</v>
      </c>
      <c r="E681" t="str">
        <f t="shared" si="21"/>
        <v>17541</v>
      </c>
      <c r="F681" t="s">
        <v>306</v>
      </c>
      <c r="G681" t="str">
        <f t="shared" si="20"/>
        <v>Pensilvania, Caldas, 17541</v>
      </c>
    </row>
    <row r="682" spans="1:7" x14ac:dyDescent="0.25">
      <c r="A682" t="s">
        <v>5</v>
      </c>
      <c r="B682">
        <v>5</v>
      </c>
      <c r="C682" t="s">
        <v>6</v>
      </c>
      <c r="D682">
        <v>5.5430000000000001</v>
      </c>
      <c r="E682" t="str">
        <f t="shared" si="21"/>
        <v>5543</v>
      </c>
      <c r="F682" t="s">
        <v>89</v>
      </c>
      <c r="G682" t="str">
        <f t="shared" si="20"/>
        <v>Peque, Antioquia, 5543</v>
      </c>
    </row>
    <row r="683" spans="1:7" x14ac:dyDescent="0.25">
      <c r="A683" t="s">
        <v>5</v>
      </c>
      <c r="B683">
        <v>66</v>
      </c>
      <c r="C683" t="s">
        <v>308</v>
      </c>
      <c r="D683">
        <v>66.001000000000005</v>
      </c>
      <c r="E683" t="str">
        <f t="shared" si="21"/>
        <v>66001</v>
      </c>
      <c r="F683" t="s">
        <v>668</v>
      </c>
      <c r="G683" t="str">
        <f t="shared" si="20"/>
        <v>Pereira, Risaralda, 66001</v>
      </c>
    </row>
    <row r="684" spans="1:7" x14ac:dyDescent="0.25">
      <c r="A684" t="s">
        <v>17</v>
      </c>
      <c r="B684">
        <v>15</v>
      </c>
      <c r="C684" t="s">
        <v>18</v>
      </c>
      <c r="D684">
        <v>15.542</v>
      </c>
      <c r="E684" t="str">
        <f t="shared" si="21"/>
        <v>15542</v>
      </c>
      <c r="F684" t="s">
        <v>247</v>
      </c>
      <c r="G684" t="str">
        <f t="shared" si="20"/>
        <v>Pesca, Boyacá, 15542</v>
      </c>
    </row>
    <row r="685" spans="1:7" x14ac:dyDescent="0.25">
      <c r="A685" t="s">
        <v>62</v>
      </c>
      <c r="B685">
        <v>19</v>
      </c>
      <c r="C685" t="s">
        <v>327</v>
      </c>
      <c r="D685">
        <v>19.533000000000001</v>
      </c>
      <c r="E685" t="str">
        <f t="shared" si="21"/>
        <v>19533</v>
      </c>
      <c r="F685" t="s">
        <v>348</v>
      </c>
      <c r="G685" t="str">
        <f t="shared" si="20"/>
        <v>Piamonte, Cauca, 19533</v>
      </c>
    </row>
    <row r="686" spans="1:7" x14ac:dyDescent="0.25">
      <c r="A686" t="s">
        <v>17</v>
      </c>
      <c r="B686">
        <v>68</v>
      </c>
      <c r="C686" t="s">
        <v>104</v>
      </c>
      <c r="D686">
        <v>68.546999999999997</v>
      </c>
      <c r="E686" t="str">
        <f t="shared" si="21"/>
        <v>68547</v>
      </c>
      <c r="F686" t="s">
        <v>725</v>
      </c>
      <c r="G686" t="str">
        <f t="shared" si="20"/>
        <v>Piedecuesta, Santander, 68547</v>
      </c>
    </row>
    <row r="687" spans="1:7" x14ac:dyDescent="0.25">
      <c r="A687" t="s">
        <v>316</v>
      </c>
      <c r="B687">
        <v>73</v>
      </c>
      <c r="C687" t="s">
        <v>757</v>
      </c>
      <c r="D687">
        <v>73.546999999999997</v>
      </c>
      <c r="E687" t="str">
        <f t="shared" si="21"/>
        <v>73547</v>
      </c>
      <c r="F687" t="s">
        <v>783</v>
      </c>
      <c r="G687" t="str">
        <f t="shared" si="20"/>
        <v>Piedras, Tolima, 73547</v>
      </c>
    </row>
    <row r="688" spans="1:7" x14ac:dyDescent="0.25">
      <c r="A688" t="s">
        <v>62</v>
      </c>
      <c r="B688">
        <v>19</v>
      </c>
      <c r="C688" t="s">
        <v>327</v>
      </c>
      <c r="D688">
        <v>19.547999999999998</v>
      </c>
      <c r="E688" t="str">
        <f t="shared" si="21"/>
        <v>19548</v>
      </c>
      <c r="F688" t="s">
        <v>349</v>
      </c>
      <c r="G688" t="str">
        <f t="shared" si="20"/>
        <v>Piendamó, Cauca, 19548</v>
      </c>
    </row>
    <row r="689" spans="1:7" x14ac:dyDescent="0.25">
      <c r="A689" t="s">
        <v>5</v>
      </c>
      <c r="B689">
        <v>63</v>
      </c>
      <c r="C689" t="s">
        <v>660</v>
      </c>
      <c r="D689">
        <v>63.548000000000002</v>
      </c>
      <c r="E689" t="str">
        <f t="shared" si="21"/>
        <v>63548</v>
      </c>
      <c r="F689" t="s">
        <v>665</v>
      </c>
      <c r="G689" t="str">
        <f t="shared" si="20"/>
        <v>Pijao, Quindío, 63548</v>
      </c>
    </row>
    <row r="690" spans="1:7" x14ac:dyDescent="0.25">
      <c r="A690" t="s">
        <v>56</v>
      </c>
      <c r="B690">
        <v>47</v>
      </c>
      <c r="C690" t="s">
        <v>570</v>
      </c>
      <c r="D690">
        <v>47.545000000000002</v>
      </c>
      <c r="E690" t="str">
        <f t="shared" si="21"/>
        <v>47545</v>
      </c>
      <c r="F690" t="s">
        <v>897</v>
      </c>
      <c r="G690" t="str">
        <f t="shared" si="20"/>
        <v>Pijiño del Carmen, Magdalena, 47545</v>
      </c>
    </row>
    <row r="691" spans="1:7" x14ac:dyDescent="0.25">
      <c r="A691" t="s">
        <v>17</v>
      </c>
      <c r="B691">
        <v>68</v>
      </c>
      <c r="C691" t="s">
        <v>104</v>
      </c>
      <c r="D691">
        <v>68.549000000000007</v>
      </c>
      <c r="E691" t="str">
        <f t="shared" si="21"/>
        <v>68549</v>
      </c>
      <c r="F691" t="s">
        <v>726</v>
      </c>
      <c r="G691" t="str">
        <f t="shared" si="20"/>
        <v>Pinchote, Santander, 68549</v>
      </c>
    </row>
    <row r="692" spans="1:7" x14ac:dyDescent="0.25">
      <c r="A692" t="s">
        <v>56</v>
      </c>
      <c r="B692">
        <v>13</v>
      </c>
      <c r="C692" t="s">
        <v>154</v>
      </c>
      <c r="D692">
        <v>13.548999999999999</v>
      </c>
      <c r="E692" t="str">
        <f t="shared" si="21"/>
        <v>13549</v>
      </c>
      <c r="F692" t="s">
        <v>171</v>
      </c>
      <c r="G692" t="str">
        <f t="shared" si="20"/>
        <v>Pinillos, Bolívar, 13549</v>
      </c>
    </row>
    <row r="693" spans="1:7" x14ac:dyDescent="0.25">
      <c r="A693" t="s">
        <v>56</v>
      </c>
      <c r="B693">
        <v>8</v>
      </c>
      <c r="C693" t="s">
        <v>137</v>
      </c>
      <c r="D693">
        <v>8.5489999999999995</v>
      </c>
      <c r="E693" t="str">
        <f t="shared" si="21"/>
        <v>8549</v>
      </c>
      <c r="F693" t="s">
        <v>145</v>
      </c>
      <c r="G693" t="str">
        <f t="shared" si="20"/>
        <v>Piojó, Atlántico, 8549</v>
      </c>
    </row>
    <row r="694" spans="1:7" x14ac:dyDescent="0.25">
      <c r="A694" t="s">
        <v>17</v>
      </c>
      <c r="B694">
        <v>15</v>
      </c>
      <c r="C694" t="s">
        <v>18</v>
      </c>
      <c r="D694">
        <v>15.55</v>
      </c>
      <c r="E694" t="str">
        <f t="shared" si="21"/>
        <v>1555</v>
      </c>
      <c r="F694" t="s">
        <v>248</v>
      </c>
      <c r="G694" t="str">
        <f t="shared" si="20"/>
        <v>Pisba, Boyacá, 1555</v>
      </c>
    </row>
    <row r="695" spans="1:7" x14ac:dyDescent="0.25">
      <c r="A695" t="s">
        <v>316</v>
      </c>
      <c r="B695">
        <v>41</v>
      </c>
      <c r="C695" t="s">
        <v>525</v>
      </c>
      <c r="D695">
        <v>41.548000000000002</v>
      </c>
      <c r="E695" t="str">
        <f t="shared" si="21"/>
        <v>41548</v>
      </c>
      <c r="F695" t="s">
        <v>547</v>
      </c>
      <c r="G695" t="str">
        <f t="shared" si="20"/>
        <v>Pital, Huila, 41548</v>
      </c>
    </row>
    <row r="696" spans="1:7" x14ac:dyDescent="0.25">
      <c r="A696" t="s">
        <v>316</v>
      </c>
      <c r="B696">
        <v>41</v>
      </c>
      <c r="C696" t="s">
        <v>525</v>
      </c>
      <c r="D696">
        <v>41.551000000000002</v>
      </c>
      <c r="E696" t="str">
        <f t="shared" si="21"/>
        <v>41551</v>
      </c>
      <c r="F696" t="s">
        <v>548</v>
      </c>
      <c r="G696" t="str">
        <f t="shared" si="20"/>
        <v>Pitalito, Huila, 41551</v>
      </c>
    </row>
    <row r="697" spans="1:7" x14ac:dyDescent="0.25">
      <c r="A697" t="s">
        <v>56</v>
      </c>
      <c r="B697">
        <v>47</v>
      </c>
      <c r="C697" t="s">
        <v>570</v>
      </c>
      <c r="D697">
        <v>47.551000000000002</v>
      </c>
      <c r="E697" t="str">
        <f t="shared" si="21"/>
        <v>47551</v>
      </c>
      <c r="F697" t="s">
        <v>584</v>
      </c>
      <c r="G697" t="str">
        <f t="shared" si="20"/>
        <v>Pivijay, Magdalena, 47551</v>
      </c>
    </row>
    <row r="698" spans="1:7" x14ac:dyDescent="0.25">
      <c r="A698" t="s">
        <v>316</v>
      </c>
      <c r="B698">
        <v>73</v>
      </c>
      <c r="C698" t="s">
        <v>757</v>
      </c>
      <c r="D698">
        <v>73.555000000000007</v>
      </c>
      <c r="E698" t="str">
        <f t="shared" si="21"/>
        <v>73555</v>
      </c>
      <c r="F698" t="s">
        <v>784</v>
      </c>
      <c r="G698" t="str">
        <f t="shared" si="20"/>
        <v>Planadas, Tolima, 73555</v>
      </c>
    </row>
    <row r="699" spans="1:7" x14ac:dyDescent="0.25">
      <c r="A699" t="s">
        <v>56</v>
      </c>
      <c r="B699">
        <v>23</v>
      </c>
      <c r="C699" t="s">
        <v>57</v>
      </c>
      <c r="D699">
        <v>23.555</v>
      </c>
      <c r="E699" t="str">
        <f t="shared" si="21"/>
        <v>23555</v>
      </c>
      <c r="F699" t="s">
        <v>398</v>
      </c>
      <c r="G699" t="str">
        <f t="shared" si="20"/>
        <v>Planeta Rica, Córdoba, 23555</v>
      </c>
    </row>
    <row r="700" spans="1:7" x14ac:dyDescent="0.25">
      <c r="A700" t="s">
        <v>56</v>
      </c>
      <c r="B700">
        <v>47</v>
      </c>
      <c r="C700" t="s">
        <v>570</v>
      </c>
      <c r="D700">
        <v>47.555</v>
      </c>
      <c r="E700" t="str">
        <f t="shared" si="21"/>
        <v>47555</v>
      </c>
      <c r="F700" t="s">
        <v>585</v>
      </c>
      <c r="G700" t="str">
        <f t="shared" si="20"/>
        <v>Plato, Magdalena, 47555</v>
      </c>
    </row>
    <row r="701" spans="1:7" x14ac:dyDescent="0.25">
      <c r="A701" t="s">
        <v>62</v>
      </c>
      <c r="B701">
        <v>52</v>
      </c>
      <c r="C701" t="s">
        <v>84</v>
      </c>
      <c r="D701">
        <v>52.54</v>
      </c>
      <c r="E701" t="str">
        <f t="shared" si="21"/>
        <v>5254</v>
      </c>
      <c r="F701" t="s">
        <v>645</v>
      </c>
      <c r="G701" t="str">
        <f t="shared" si="20"/>
        <v>Policarpa, Nariño, 5254</v>
      </c>
    </row>
    <row r="702" spans="1:7" x14ac:dyDescent="0.25">
      <c r="A702" t="s">
        <v>56</v>
      </c>
      <c r="B702">
        <v>8</v>
      </c>
      <c r="C702" t="s">
        <v>137</v>
      </c>
      <c r="D702">
        <v>8.5579999999999998</v>
      </c>
      <c r="E702" t="str">
        <f t="shared" si="21"/>
        <v>8558</v>
      </c>
      <c r="F702" t="s">
        <v>146</v>
      </c>
      <c r="G702" t="str">
        <f t="shared" si="20"/>
        <v>Polonuevo, Atlántico, 8558</v>
      </c>
    </row>
    <row r="703" spans="1:7" x14ac:dyDescent="0.25">
      <c r="A703" t="s">
        <v>56</v>
      </c>
      <c r="B703">
        <v>8</v>
      </c>
      <c r="C703" t="s">
        <v>137</v>
      </c>
      <c r="D703">
        <v>8.56</v>
      </c>
      <c r="E703" t="str">
        <f t="shared" si="21"/>
        <v>856</v>
      </c>
      <c r="F703" t="s">
        <v>1068</v>
      </c>
      <c r="G703" t="str">
        <f t="shared" si="20"/>
        <v>Ponedera, Atlántico, 856</v>
      </c>
    </row>
    <row r="704" spans="1:7" x14ac:dyDescent="0.25">
      <c r="A704" t="s">
        <v>62</v>
      </c>
      <c r="B704">
        <v>19</v>
      </c>
      <c r="C704" t="s">
        <v>327</v>
      </c>
      <c r="D704">
        <v>19.001000000000001</v>
      </c>
      <c r="E704" t="str">
        <f t="shared" si="21"/>
        <v>19001</v>
      </c>
      <c r="F704" t="s">
        <v>328</v>
      </c>
      <c r="G704" t="str">
        <f t="shared" si="20"/>
        <v>Popayán, Cauca, 19001</v>
      </c>
    </row>
    <row r="705" spans="1:7" x14ac:dyDescent="0.25">
      <c r="A705" t="s">
        <v>117</v>
      </c>
      <c r="B705">
        <v>85</v>
      </c>
      <c r="C705" t="s">
        <v>802</v>
      </c>
      <c r="D705">
        <v>85.263000000000005</v>
      </c>
      <c r="E705" t="str">
        <f t="shared" si="21"/>
        <v>85263</v>
      </c>
      <c r="F705" t="s">
        <v>809</v>
      </c>
      <c r="G705" t="str">
        <f t="shared" si="20"/>
        <v>Pore, Casanare, 85263</v>
      </c>
    </row>
    <row r="706" spans="1:7" x14ac:dyDescent="0.25">
      <c r="A706" t="s">
        <v>62</v>
      </c>
      <c r="B706">
        <v>52</v>
      </c>
      <c r="C706" t="s">
        <v>84</v>
      </c>
      <c r="D706">
        <v>52.56</v>
      </c>
      <c r="E706" t="str">
        <f t="shared" si="21"/>
        <v>5256</v>
      </c>
      <c r="F706" t="s">
        <v>646</v>
      </c>
      <c r="G706" t="str">
        <f t="shared" ref="G706:G769" si="22">_xlfn.CONCAT(F706,", ",C706,", ",E706)</f>
        <v>Potosí, Nariño, 5256</v>
      </c>
    </row>
    <row r="707" spans="1:7" x14ac:dyDescent="0.25">
      <c r="A707" t="s">
        <v>62</v>
      </c>
      <c r="B707">
        <v>76</v>
      </c>
      <c r="C707" t="s">
        <v>942</v>
      </c>
      <c r="D707">
        <v>76.563000000000002</v>
      </c>
      <c r="E707" t="str">
        <f t="shared" ref="E707:E770" si="23">SUBSTITUTE(D707, ".", "",1)</f>
        <v>76563</v>
      </c>
      <c r="F707" t="s">
        <v>984</v>
      </c>
      <c r="G707" t="str">
        <f t="shared" si="22"/>
        <v>Pradera, Valle del Cauca, 76563</v>
      </c>
    </row>
    <row r="708" spans="1:7" x14ac:dyDescent="0.25">
      <c r="A708" t="s">
        <v>316</v>
      </c>
      <c r="B708">
        <v>73</v>
      </c>
      <c r="C708" t="s">
        <v>757</v>
      </c>
      <c r="D708">
        <v>73.563000000000002</v>
      </c>
      <c r="E708" t="str">
        <f t="shared" si="23"/>
        <v>73563</v>
      </c>
      <c r="F708" t="s">
        <v>785</v>
      </c>
      <c r="G708" t="str">
        <f t="shared" si="22"/>
        <v>Prado, Tolima, 73563</v>
      </c>
    </row>
    <row r="709" spans="1:7" x14ac:dyDescent="0.25">
      <c r="A709" t="s">
        <v>56</v>
      </c>
      <c r="B709">
        <v>88</v>
      </c>
      <c r="C709" s="6" t="s">
        <v>1077</v>
      </c>
      <c r="D709">
        <v>88.563999999999993</v>
      </c>
      <c r="E709" t="str">
        <f t="shared" si="23"/>
        <v>88564</v>
      </c>
      <c r="F709" t="s">
        <v>647</v>
      </c>
      <c r="G709" t="str">
        <f t="shared" si="22"/>
        <v>Providencia, Archipiélago de San Andrés - Providencia y Santa Catalina, 88564</v>
      </c>
    </row>
    <row r="710" spans="1:7" x14ac:dyDescent="0.25">
      <c r="A710" t="s">
        <v>62</v>
      </c>
      <c r="B710">
        <v>52</v>
      </c>
      <c r="C710" t="s">
        <v>84</v>
      </c>
      <c r="D710">
        <v>52.564999999999998</v>
      </c>
      <c r="E710" t="str">
        <f t="shared" si="23"/>
        <v>52565</v>
      </c>
      <c r="F710" t="s">
        <v>647</v>
      </c>
      <c r="G710" t="str">
        <f t="shared" si="22"/>
        <v>Providencia, Nariño, 52565</v>
      </c>
    </row>
    <row r="711" spans="1:7" x14ac:dyDescent="0.25">
      <c r="A711" t="s">
        <v>56</v>
      </c>
      <c r="B711">
        <v>20</v>
      </c>
      <c r="C711" t="s">
        <v>362</v>
      </c>
      <c r="D711">
        <v>20.57</v>
      </c>
      <c r="E711" t="str">
        <f t="shared" si="23"/>
        <v>2057</v>
      </c>
      <c r="F711" t="s">
        <v>380</v>
      </c>
      <c r="G711" t="str">
        <f t="shared" si="22"/>
        <v>Pueblo Bello, Cesar, 2057</v>
      </c>
    </row>
    <row r="712" spans="1:7" x14ac:dyDescent="0.25">
      <c r="A712" t="s">
        <v>56</v>
      </c>
      <c r="B712">
        <v>23</v>
      </c>
      <c r="C712" t="s">
        <v>57</v>
      </c>
      <c r="D712">
        <v>23.57</v>
      </c>
      <c r="E712" t="str">
        <f t="shared" si="23"/>
        <v>2357</v>
      </c>
      <c r="F712" t="s">
        <v>399</v>
      </c>
      <c r="G712" t="str">
        <f t="shared" si="22"/>
        <v>Pueblo Nuevo, Córdoba, 2357</v>
      </c>
    </row>
    <row r="713" spans="1:7" x14ac:dyDescent="0.25">
      <c r="A713" t="s">
        <v>5</v>
      </c>
      <c r="B713">
        <v>66</v>
      </c>
      <c r="C713" t="s">
        <v>308</v>
      </c>
      <c r="D713">
        <v>66.572000000000003</v>
      </c>
      <c r="E713" t="str">
        <f t="shared" si="23"/>
        <v>66572</v>
      </c>
      <c r="F713" t="s">
        <v>676</v>
      </c>
      <c r="G713" t="str">
        <f t="shared" si="22"/>
        <v>Pueblo Rico, Risaralda, 66572</v>
      </c>
    </row>
    <row r="714" spans="1:7" x14ac:dyDescent="0.25">
      <c r="A714" t="s">
        <v>56</v>
      </c>
      <c r="B714">
        <v>47</v>
      </c>
      <c r="C714" t="s">
        <v>570</v>
      </c>
      <c r="D714">
        <v>47.57</v>
      </c>
      <c r="E714" t="str">
        <f t="shared" si="23"/>
        <v>4757</v>
      </c>
      <c r="F714" t="s">
        <v>1060</v>
      </c>
      <c r="G714" t="str">
        <f t="shared" si="22"/>
        <v>Pueblo Viejo, Magdalena, 4757</v>
      </c>
    </row>
    <row r="715" spans="1:7" x14ac:dyDescent="0.25">
      <c r="A715" t="s">
        <v>5</v>
      </c>
      <c r="B715">
        <v>5</v>
      </c>
      <c r="C715" t="s">
        <v>6</v>
      </c>
      <c r="D715">
        <v>5.5759999999999996</v>
      </c>
      <c r="E715" t="str">
        <f t="shared" si="23"/>
        <v>5576</v>
      </c>
      <c r="F715" t="s">
        <v>90</v>
      </c>
      <c r="G715" t="str">
        <f t="shared" si="22"/>
        <v>Pueblorrico, Antioquia, 5576</v>
      </c>
    </row>
    <row r="716" spans="1:7" x14ac:dyDescent="0.25">
      <c r="A716" t="s">
        <v>17</v>
      </c>
      <c r="B716">
        <v>68</v>
      </c>
      <c r="C716" t="s">
        <v>104</v>
      </c>
      <c r="D716">
        <v>68.572000000000003</v>
      </c>
      <c r="E716" t="str">
        <f t="shared" si="23"/>
        <v>68572</v>
      </c>
      <c r="F716" t="s">
        <v>727</v>
      </c>
      <c r="G716" t="str">
        <f t="shared" si="22"/>
        <v>Puente Nacional, Santander, 68572</v>
      </c>
    </row>
    <row r="717" spans="1:7" x14ac:dyDescent="0.25">
      <c r="A717" t="s">
        <v>62</v>
      </c>
      <c r="B717">
        <v>52</v>
      </c>
      <c r="C717" t="s">
        <v>84</v>
      </c>
      <c r="D717">
        <v>52.573</v>
      </c>
      <c r="E717" t="str">
        <f t="shared" si="23"/>
        <v>52573</v>
      </c>
      <c r="F717" t="s">
        <v>648</v>
      </c>
      <c r="G717" t="str">
        <f t="shared" si="22"/>
        <v>Puerres, Nariño, 52573</v>
      </c>
    </row>
    <row r="718" spans="1:7" x14ac:dyDescent="0.25">
      <c r="A718" t="s">
        <v>316</v>
      </c>
      <c r="B718">
        <v>91</v>
      </c>
      <c r="C718" t="s">
        <v>822</v>
      </c>
      <c r="D718">
        <v>91.53</v>
      </c>
      <c r="E718" t="str">
        <f t="shared" si="23"/>
        <v>9153</v>
      </c>
      <c r="F718" t="s">
        <v>934</v>
      </c>
      <c r="G718" t="str">
        <f t="shared" si="22"/>
        <v>Puerto Alegría, Amazonas, 9153</v>
      </c>
    </row>
    <row r="719" spans="1:7" x14ac:dyDescent="0.25">
      <c r="A719" t="s">
        <v>316</v>
      </c>
      <c r="B719">
        <v>91</v>
      </c>
      <c r="C719" t="s">
        <v>822</v>
      </c>
      <c r="D719">
        <v>91.536000000000001</v>
      </c>
      <c r="E719" t="str">
        <f t="shared" si="23"/>
        <v>91536</v>
      </c>
      <c r="F719" t="s">
        <v>827</v>
      </c>
      <c r="G719" t="str">
        <f t="shared" si="22"/>
        <v>Puerto Arica, Amazonas, 91536</v>
      </c>
    </row>
    <row r="720" spans="1:7" x14ac:dyDescent="0.25">
      <c r="A720" t="s">
        <v>316</v>
      </c>
      <c r="B720">
        <v>86</v>
      </c>
      <c r="C720" t="s">
        <v>814</v>
      </c>
      <c r="D720">
        <v>86.567999999999998</v>
      </c>
      <c r="E720" t="str">
        <f t="shared" si="23"/>
        <v>86568</v>
      </c>
      <c r="F720" t="s">
        <v>1008</v>
      </c>
      <c r="G720" t="str">
        <f t="shared" si="22"/>
        <v>Puerto Asís, Putumayo, 86568</v>
      </c>
    </row>
    <row r="721" spans="1:7" x14ac:dyDescent="0.25">
      <c r="A721" t="s">
        <v>5</v>
      </c>
      <c r="B721">
        <v>5</v>
      </c>
      <c r="C721" t="s">
        <v>6</v>
      </c>
      <c r="D721">
        <v>5.5789999999999997</v>
      </c>
      <c r="E721" t="str">
        <f t="shared" si="23"/>
        <v>5579</v>
      </c>
      <c r="F721" t="s">
        <v>91</v>
      </c>
      <c r="G721" t="str">
        <f t="shared" si="22"/>
        <v>Puerto Berrío, Antioquia, 5579</v>
      </c>
    </row>
    <row r="722" spans="1:7" x14ac:dyDescent="0.25">
      <c r="A722" t="s">
        <v>17</v>
      </c>
      <c r="B722">
        <v>15</v>
      </c>
      <c r="C722" t="s">
        <v>18</v>
      </c>
      <c r="D722">
        <v>15.571999999999999</v>
      </c>
      <c r="E722" t="str">
        <f t="shared" si="23"/>
        <v>15572</v>
      </c>
      <c r="F722" t="s">
        <v>249</v>
      </c>
      <c r="G722" t="str">
        <f t="shared" si="22"/>
        <v>Puerto Boyacá, Boyacá, 15572</v>
      </c>
    </row>
    <row r="723" spans="1:7" x14ac:dyDescent="0.25">
      <c r="A723" t="s">
        <v>316</v>
      </c>
      <c r="B723">
        <v>86</v>
      </c>
      <c r="C723" t="s">
        <v>814</v>
      </c>
      <c r="D723">
        <v>86.569000000000003</v>
      </c>
      <c r="E723" t="str">
        <f t="shared" si="23"/>
        <v>86569</v>
      </c>
      <c r="F723" t="s">
        <v>817</v>
      </c>
      <c r="G723" t="str">
        <f t="shared" si="22"/>
        <v>Puerto Caicedo, Putumayo, 86569</v>
      </c>
    </row>
    <row r="724" spans="1:7" x14ac:dyDescent="0.25">
      <c r="A724" t="s">
        <v>117</v>
      </c>
      <c r="B724">
        <v>99</v>
      </c>
      <c r="C724" t="s">
        <v>848</v>
      </c>
      <c r="D724">
        <v>99.001000000000005</v>
      </c>
      <c r="E724" t="str">
        <f t="shared" si="23"/>
        <v>99001</v>
      </c>
      <c r="F724" t="s">
        <v>849</v>
      </c>
      <c r="G724" t="str">
        <f t="shared" si="22"/>
        <v>Puerto Carreño, Vichada, 99001</v>
      </c>
    </row>
    <row r="725" spans="1:7" x14ac:dyDescent="0.25">
      <c r="A725" t="s">
        <v>56</v>
      </c>
      <c r="B725">
        <v>8</v>
      </c>
      <c r="C725" t="s">
        <v>137</v>
      </c>
      <c r="D725">
        <v>8.5730000000000004</v>
      </c>
      <c r="E725" t="str">
        <f t="shared" si="23"/>
        <v>8573</v>
      </c>
      <c r="F725" t="s">
        <v>836</v>
      </c>
      <c r="G725" t="str">
        <f t="shared" si="22"/>
        <v>Puerto Colombia, Atlántico, 8573</v>
      </c>
    </row>
    <row r="726" spans="1:7" x14ac:dyDescent="0.25">
      <c r="A726" t="s">
        <v>117</v>
      </c>
      <c r="B726">
        <v>94</v>
      </c>
      <c r="C726" t="s">
        <v>831</v>
      </c>
      <c r="D726">
        <v>94.884</v>
      </c>
      <c r="E726" t="str">
        <f t="shared" si="23"/>
        <v>94884</v>
      </c>
      <c r="F726" t="s">
        <v>836</v>
      </c>
      <c r="G726" t="str">
        <f t="shared" si="22"/>
        <v>Puerto Colombia, Guainía, 94884</v>
      </c>
    </row>
    <row r="727" spans="1:7" x14ac:dyDescent="0.25">
      <c r="A727" t="s">
        <v>117</v>
      </c>
      <c r="B727">
        <v>50</v>
      </c>
      <c r="C727" t="s">
        <v>118</v>
      </c>
      <c r="D727">
        <v>50.45</v>
      </c>
      <c r="E727" t="str">
        <f t="shared" si="23"/>
        <v>5045</v>
      </c>
      <c r="F727" t="s">
        <v>605</v>
      </c>
      <c r="G727" t="str">
        <f t="shared" si="22"/>
        <v>Puerto Concordia, Meta, 5045</v>
      </c>
    </row>
    <row r="728" spans="1:7" x14ac:dyDescent="0.25">
      <c r="A728" t="s">
        <v>56</v>
      </c>
      <c r="B728">
        <v>23</v>
      </c>
      <c r="C728" t="s">
        <v>57</v>
      </c>
      <c r="D728">
        <v>23.574000000000002</v>
      </c>
      <c r="E728" t="str">
        <f t="shared" si="23"/>
        <v>23574</v>
      </c>
      <c r="F728" t="s">
        <v>400</v>
      </c>
      <c r="G728" t="str">
        <f t="shared" si="22"/>
        <v>Puerto Escondido, Córdoba, 23574</v>
      </c>
    </row>
    <row r="729" spans="1:7" x14ac:dyDescent="0.25">
      <c r="A729" t="s">
        <v>117</v>
      </c>
      <c r="B729">
        <v>50</v>
      </c>
      <c r="C729" t="s">
        <v>118</v>
      </c>
      <c r="D729">
        <v>50.567999999999998</v>
      </c>
      <c r="E729" t="str">
        <f t="shared" si="23"/>
        <v>50568</v>
      </c>
      <c r="F729" t="s">
        <v>606</v>
      </c>
      <c r="G729" t="str">
        <f t="shared" si="22"/>
        <v>Puerto Gaitán, Meta, 50568</v>
      </c>
    </row>
    <row r="730" spans="1:7" x14ac:dyDescent="0.25">
      <c r="A730" t="s">
        <v>316</v>
      </c>
      <c r="B730">
        <v>86</v>
      </c>
      <c r="C730" t="s">
        <v>814</v>
      </c>
      <c r="D730">
        <v>86.570999999999998</v>
      </c>
      <c r="E730" t="str">
        <f t="shared" si="23"/>
        <v>86571</v>
      </c>
      <c r="F730" t="s">
        <v>818</v>
      </c>
      <c r="G730" t="str">
        <f t="shared" si="22"/>
        <v>Puerto Guzmán, Putumayo, 86571</v>
      </c>
    </row>
    <row r="731" spans="1:7" x14ac:dyDescent="0.25">
      <c r="A731" t="s">
        <v>56</v>
      </c>
      <c r="B731">
        <v>23</v>
      </c>
      <c r="C731" t="s">
        <v>57</v>
      </c>
      <c r="D731">
        <v>23.58</v>
      </c>
      <c r="E731" t="str">
        <f t="shared" si="23"/>
        <v>2358</v>
      </c>
      <c r="F731" t="s">
        <v>1063</v>
      </c>
      <c r="G731" t="str">
        <f t="shared" si="22"/>
        <v>Puerto Libertador, Córdoba, 2358</v>
      </c>
    </row>
    <row r="732" spans="1:7" x14ac:dyDescent="0.25">
      <c r="A732" t="s">
        <v>117</v>
      </c>
      <c r="B732">
        <v>50</v>
      </c>
      <c r="C732" t="s">
        <v>118</v>
      </c>
      <c r="D732">
        <v>50.576999999999998</v>
      </c>
      <c r="E732" t="str">
        <f t="shared" si="23"/>
        <v>50577</v>
      </c>
      <c r="F732" t="s">
        <v>608</v>
      </c>
      <c r="G732" t="str">
        <f t="shared" si="22"/>
        <v>Puerto Lleras, Meta, 50577</v>
      </c>
    </row>
    <row r="733" spans="1:7" x14ac:dyDescent="0.25">
      <c r="A733" t="s">
        <v>117</v>
      </c>
      <c r="B733">
        <v>50</v>
      </c>
      <c r="C733" t="s">
        <v>118</v>
      </c>
      <c r="D733">
        <v>50.573</v>
      </c>
      <c r="E733" t="str">
        <f t="shared" si="23"/>
        <v>50573</v>
      </c>
      <c r="F733" t="s">
        <v>607</v>
      </c>
      <c r="G733" t="str">
        <f t="shared" si="22"/>
        <v>Puerto López, Meta, 50573</v>
      </c>
    </row>
    <row r="734" spans="1:7" x14ac:dyDescent="0.25">
      <c r="A734" t="s">
        <v>5</v>
      </c>
      <c r="B734">
        <v>5</v>
      </c>
      <c r="C734" t="s">
        <v>6</v>
      </c>
      <c r="D734">
        <v>5.585</v>
      </c>
      <c r="E734" t="str">
        <f t="shared" si="23"/>
        <v>5585</v>
      </c>
      <c r="F734" t="s">
        <v>92</v>
      </c>
      <c r="G734" t="str">
        <f t="shared" si="22"/>
        <v>Puerto Nare, Antioquia, 5585</v>
      </c>
    </row>
    <row r="735" spans="1:7" x14ac:dyDescent="0.25">
      <c r="A735" t="s">
        <v>316</v>
      </c>
      <c r="B735">
        <v>91</v>
      </c>
      <c r="C735" t="s">
        <v>822</v>
      </c>
      <c r="D735">
        <v>91.54</v>
      </c>
      <c r="E735" t="str">
        <f t="shared" si="23"/>
        <v>9154</v>
      </c>
      <c r="F735" t="s">
        <v>828</v>
      </c>
      <c r="G735" t="str">
        <f t="shared" si="22"/>
        <v>Puerto Nariño, Amazonas, 9154</v>
      </c>
    </row>
    <row r="736" spans="1:7" x14ac:dyDescent="0.25">
      <c r="A736" t="s">
        <v>17</v>
      </c>
      <c r="B736">
        <v>68</v>
      </c>
      <c r="C736" t="s">
        <v>104</v>
      </c>
      <c r="D736">
        <v>68.572999999999993</v>
      </c>
      <c r="E736" t="str">
        <f t="shared" si="23"/>
        <v>68573</v>
      </c>
      <c r="F736" t="s">
        <v>106</v>
      </c>
      <c r="G736" t="str">
        <f t="shared" si="22"/>
        <v>Puerto Parra, Santander, 68573</v>
      </c>
    </row>
    <row r="737" spans="1:7" x14ac:dyDescent="0.25">
      <c r="A737" t="s">
        <v>316</v>
      </c>
      <c r="B737">
        <v>18</v>
      </c>
      <c r="C737" t="s">
        <v>317</v>
      </c>
      <c r="D737">
        <v>18.591999999999999</v>
      </c>
      <c r="E737" t="str">
        <f t="shared" si="23"/>
        <v>18592</v>
      </c>
      <c r="F737" t="s">
        <v>324</v>
      </c>
      <c r="G737" t="str">
        <f t="shared" si="22"/>
        <v>Puerto Rico, Caquetá, 18592</v>
      </c>
    </row>
    <row r="738" spans="1:7" x14ac:dyDescent="0.25">
      <c r="A738" t="s">
        <v>117</v>
      </c>
      <c r="B738">
        <v>50</v>
      </c>
      <c r="C738" t="s">
        <v>118</v>
      </c>
      <c r="D738">
        <v>50.59</v>
      </c>
      <c r="E738" t="str">
        <f t="shared" si="23"/>
        <v>5059</v>
      </c>
      <c r="F738" t="s">
        <v>324</v>
      </c>
      <c r="G738" t="str">
        <f t="shared" si="22"/>
        <v>Puerto Rico, Meta, 5059</v>
      </c>
    </row>
    <row r="739" spans="1:7" x14ac:dyDescent="0.25">
      <c r="A739" t="s">
        <v>117</v>
      </c>
      <c r="B739">
        <v>81</v>
      </c>
      <c r="C739" t="s">
        <v>795</v>
      </c>
      <c r="D739">
        <v>81.590999999999994</v>
      </c>
      <c r="E739" t="str">
        <f t="shared" si="23"/>
        <v>81591</v>
      </c>
      <c r="F739" t="s">
        <v>799</v>
      </c>
      <c r="G739" t="str">
        <f t="shared" si="22"/>
        <v>Puerto Rondón, Arauca, 81591</v>
      </c>
    </row>
    <row r="740" spans="1:7" x14ac:dyDescent="0.25">
      <c r="A740" t="s">
        <v>17</v>
      </c>
      <c r="B740">
        <v>25</v>
      </c>
      <c r="C740" t="s">
        <v>409</v>
      </c>
      <c r="D740">
        <v>25.571999999999999</v>
      </c>
      <c r="E740" t="str">
        <f t="shared" si="23"/>
        <v>25572</v>
      </c>
      <c r="F740" t="s">
        <v>466</v>
      </c>
      <c r="G740" t="str">
        <f t="shared" si="22"/>
        <v>Puerto Salgar, Cundinamarca, 25572</v>
      </c>
    </row>
    <row r="741" spans="1:7" x14ac:dyDescent="0.25">
      <c r="A741" t="s">
        <v>316</v>
      </c>
      <c r="B741">
        <v>91</v>
      </c>
      <c r="C741" t="s">
        <v>822</v>
      </c>
      <c r="D741">
        <v>91.668999999999997</v>
      </c>
      <c r="E741" t="str">
        <f t="shared" si="23"/>
        <v>91669</v>
      </c>
      <c r="F741" t="s">
        <v>829</v>
      </c>
      <c r="G741" t="str">
        <f t="shared" si="22"/>
        <v>Puerto Santander, Amazonas, 91669</v>
      </c>
    </row>
    <row r="742" spans="1:7" x14ac:dyDescent="0.25">
      <c r="A742" t="s">
        <v>17</v>
      </c>
      <c r="B742">
        <v>54</v>
      </c>
      <c r="C742" t="s">
        <v>939</v>
      </c>
      <c r="D742">
        <v>54.552999999999997</v>
      </c>
      <c r="E742" t="str">
        <f t="shared" si="23"/>
        <v>54553</v>
      </c>
      <c r="F742" t="s">
        <v>829</v>
      </c>
      <c r="G742" t="str">
        <f t="shared" si="22"/>
        <v>Puerto Santander, Norte de Santander, 54553</v>
      </c>
    </row>
    <row r="743" spans="1:7" x14ac:dyDescent="0.25">
      <c r="A743" t="s">
        <v>62</v>
      </c>
      <c r="B743">
        <v>19</v>
      </c>
      <c r="C743" t="s">
        <v>327</v>
      </c>
      <c r="D743">
        <v>19.573</v>
      </c>
      <c r="E743" t="str">
        <f t="shared" si="23"/>
        <v>19573</v>
      </c>
      <c r="F743" t="s">
        <v>350</v>
      </c>
      <c r="G743" t="str">
        <f t="shared" si="22"/>
        <v>Puerto Tejada, Cauca, 19573</v>
      </c>
    </row>
    <row r="744" spans="1:7" x14ac:dyDescent="0.25">
      <c r="A744" t="s">
        <v>5</v>
      </c>
      <c r="B744">
        <v>5</v>
      </c>
      <c r="C744" t="s">
        <v>6</v>
      </c>
      <c r="D744">
        <v>5.5910000000000002</v>
      </c>
      <c r="E744" t="str">
        <f t="shared" si="23"/>
        <v>5591</v>
      </c>
      <c r="F744" t="s">
        <v>93</v>
      </c>
      <c r="G744" t="str">
        <f t="shared" si="22"/>
        <v>Puerto Triunfo, Antioquia, 5591</v>
      </c>
    </row>
    <row r="745" spans="1:7" x14ac:dyDescent="0.25">
      <c r="A745" t="s">
        <v>17</v>
      </c>
      <c r="B745">
        <v>68</v>
      </c>
      <c r="C745" t="s">
        <v>104</v>
      </c>
      <c r="D745">
        <v>68.575000000000003</v>
      </c>
      <c r="E745" t="str">
        <f t="shared" si="23"/>
        <v>68575</v>
      </c>
      <c r="F745" t="s">
        <v>105</v>
      </c>
      <c r="G745" t="str">
        <f t="shared" si="22"/>
        <v>Puerto Wilches, Santander, 68575</v>
      </c>
    </row>
    <row r="746" spans="1:7" x14ac:dyDescent="0.25">
      <c r="A746" t="s">
        <v>17</v>
      </c>
      <c r="B746">
        <v>25</v>
      </c>
      <c r="C746" t="s">
        <v>409</v>
      </c>
      <c r="D746">
        <v>25.58</v>
      </c>
      <c r="E746" t="str">
        <f t="shared" si="23"/>
        <v>2558</v>
      </c>
      <c r="F746" t="s">
        <v>467</v>
      </c>
      <c r="G746" t="str">
        <f t="shared" si="22"/>
        <v>Pulí, Cundinamarca, 2558</v>
      </c>
    </row>
    <row r="747" spans="1:7" x14ac:dyDescent="0.25">
      <c r="A747" t="s">
        <v>62</v>
      </c>
      <c r="B747">
        <v>52</v>
      </c>
      <c r="C747" t="s">
        <v>84</v>
      </c>
      <c r="D747">
        <v>52.585000000000001</v>
      </c>
      <c r="E747" t="str">
        <f t="shared" si="23"/>
        <v>52585</v>
      </c>
      <c r="F747" t="s">
        <v>649</v>
      </c>
      <c r="G747" t="str">
        <f t="shared" si="22"/>
        <v>Pupiales, Nariño, 52585</v>
      </c>
    </row>
    <row r="748" spans="1:7" x14ac:dyDescent="0.25">
      <c r="A748" t="s">
        <v>62</v>
      </c>
      <c r="B748">
        <v>19</v>
      </c>
      <c r="C748" t="s">
        <v>327</v>
      </c>
      <c r="D748">
        <v>19.585000000000001</v>
      </c>
      <c r="E748" t="str">
        <f t="shared" si="23"/>
        <v>19585</v>
      </c>
      <c r="F748" t="s">
        <v>351</v>
      </c>
      <c r="G748" t="str">
        <f t="shared" si="22"/>
        <v>Puracé, Cauca, 19585</v>
      </c>
    </row>
    <row r="749" spans="1:7" x14ac:dyDescent="0.25">
      <c r="A749" t="s">
        <v>316</v>
      </c>
      <c r="B749">
        <v>73</v>
      </c>
      <c r="C749" t="s">
        <v>757</v>
      </c>
      <c r="D749">
        <v>73.584999999999994</v>
      </c>
      <c r="E749" t="str">
        <f t="shared" si="23"/>
        <v>73585</v>
      </c>
      <c r="F749" t="s">
        <v>786</v>
      </c>
      <c r="G749" t="str">
        <f t="shared" si="22"/>
        <v>Purificación, Tolima, 73585</v>
      </c>
    </row>
    <row r="750" spans="1:7" x14ac:dyDescent="0.25">
      <c r="A750" t="s">
        <v>56</v>
      </c>
      <c r="B750">
        <v>23</v>
      </c>
      <c r="C750" t="s">
        <v>57</v>
      </c>
      <c r="D750">
        <v>23.585999999999999</v>
      </c>
      <c r="E750" t="str">
        <f t="shared" si="23"/>
        <v>23586</v>
      </c>
      <c r="F750" t="s">
        <v>401</v>
      </c>
      <c r="G750" t="str">
        <f t="shared" si="22"/>
        <v>Purísima, Córdoba, 23586</v>
      </c>
    </row>
    <row r="751" spans="1:7" x14ac:dyDescent="0.25">
      <c r="A751" t="s">
        <v>17</v>
      </c>
      <c r="B751">
        <v>25</v>
      </c>
      <c r="C751" t="s">
        <v>409</v>
      </c>
      <c r="D751">
        <v>25.591999999999999</v>
      </c>
      <c r="E751" t="str">
        <f t="shared" si="23"/>
        <v>25592</v>
      </c>
      <c r="F751" t="s">
        <v>468</v>
      </c>
      <c r="G751" t="str">
        <f t="shared" si="22"/>
        <v>Quebradanegra, Cundinamarca, 25592</v>
      </c>
    </row>
    <row r="752" spans="1:7" x14ac:dyDescent="0.25">
      <c r="A752" t="s">
        <v>17</v>
      </c>
      <c r="B752">
        <v>25</v>
      </c>
      <c r="C752" t="s">
        <v>409</v>
      </c>
      <c r="D752">
        <v>25.594000000000001</v>
      </c>
      <c r="E752" t="str">
        <f t="shared" si="23"/>
        <v>25594</v>
      </c>
      <c r="F752" t="s">
        <v>469</v>
      </c>
      <c r="G752" t="str">
        <f t="shared" si="22"/>
        <v>Quetame, Cundinamarca, 25594</v>
      </c>
    </row>
    <row r="753" spans="1:7" x14ac:dyDescent="0.25">
      <c r="A753" t="s">
        <v>62</v>
      </c>
      <c r="B753">
        <v>27</v>
      </c>
      <c r="C753" t="s">
        <v>63</v>
      </c>
      <c r="D753">
        <v>27.001000000000001</v>
      </c>
      <c r="E753" t="str">
        <f t="shared" si="23"/>
        <v>27001</v>
      </c>
      <c r="F753" t="s">
        <v>504</v>
      </c>
      <c r="G753" t="str">
        <f t="shared" si="22"/>
        <v>Quibdó, Chocó, 27001</v>
      </c>
    </row>
    <row r="754" spans="1:7" x14ac:dyDescent="0.25">
      <c r="A754" t="s">
        <v>5</v>
      </c>
      <c r="B754">
        <v>63</v>
      </c>
      <c r="C754" t="s">
        <v>660</v>
      </c>
      <c r="D754">
        <v>63.594000000000001</v>
      </c>
      <c r="E754" t="str">
        <f t="shared" si="23"/>
        <v>63594</v>
      </c>
      <c r="F754" t="s">
        <v>666</v>
      </c>
      <c r="G754" t="str">
        <f t="shared" si="22"/>
        <v>Quimbaya, Quindío, 63594</v>
      </c>
    </row>
    <row r="755" spans="1:7" x14ac:dyDescent="0.25">
      <c r="A755" t="s">
        <v>5</v>
      </c>
      <c r="B755">
        <v>66</v>
      </c>
      <c r="C755" t="s">
        <v>308</v>
      </c>
      <c r="D755">
        <v>66.593999999999994</v>
      </c>
      <c r="E755" t="str">
        <f t="shared" si="23"/>
        <v>66594</v>
      </c>
      <c r="F755" t="s">
        <v>677</v>
      </c>
      <c r="G755" t="str">
        <f t="shared" si="22"/>
        <v>Quinchía, Risaralda, 66594</v>
      </c>
    </row>
    <row r="756" spans="1:7" x14ac:dyDescent="0.25">
      <c r="A756" t="s">
        <v>17</v>
      </c>
      <c r="B756">
        <v>15</v>
      </c>
      <c r="C756" t="s">
        <v>18</v>
      </c>
      <c r="D756">
        <v>15.58</v>
      </c>
      <c r="E756" t="str">
        <f t="shared" si="23"/>
        <v>1558</v>
      </c>
      <c r="F756" t="s">
        <v>250</v>
      </c>
      <c r="G756" t="str">
        <f t="shared" si="22"/>
        <v>Quípama, Boyacá, 1558</v>
      </c>
    </row>
    <row r="757" spans="1:7" x14ac:dyDescent="0.25">
      <c r="A757" t="s">
        <v>17</v>
      </c>
      <c r="B757">
        <v>25</v>
      </c>
      <c r="C757" t="s">
        <v>409</v>
      </c>
      <c r="D757">
        <v>25.596</v>
      </c>
      <c r="E757" t="str">
        <f t="shared" si="23"/>
        <v>25596</v>
      </c>
      <c r="F757" t="s">
        <v>470</v>
      </c>
      <c r="G757" t="str">
        <f t="shared" si="22"/>
        <v>Quipile, Cundinamarca, 25596</v>
      </c>
    </row>
    <row r="758" spans="1:7" x14ac:dyDescent="0.25">
      <c r="A758" t="s">
        <v>17</v>
      </c>
      <c r="B758">
        <v>54</v>
      </c>
      <c r="C758" t="s">
        <v>939</v>
      </c>
      <c r="D758">
        <v>54.598999999999997</v>
      </c>
      <c r="E758" t="str">
        <f t="shared" si="23"/>
        <v>54599</v>
      </c>
      <c r="F758" t="s">
        <v>977</v>
      </c>
      <c r="G758" t="str">
        <f t="shared" si="22"/>
        <v>Ragonvalia, Norte de Santander, 54599</v>
      </c>
    </row>
    <row r="759" spans="1:7" x14ac:dyDescent="0.25">
      <c r="A759" t="s">
        <v>17</v>
      </c>
      <c r="B759">
        <v>15</v>
      </c>
      <c r="C759" t="s">
        <v>18</v>
      </c>
      <c r="D759">
        <v>15.599</v>
      </c>
      <c r="E759" t="str">
        <f t="shared" si="23"/>
        <v>15599</v>
      </c>
      <c r="F759" t="s">
        <v>251</v>
      </c>
      <c r="G759" t="str">
        <f t="shared" si="22"/>
        <v>Ramiriquí, Boyacá, 15599</v>
      </c>
    </row>
    <row r="760" spans="1:7" x14ac:dyDescent="0.25">
      <c r="A760" t="s">
        <v>17</v>
      </c>
      <c r="B760">
        <v>15</v>
      </c>
      <c r="C760" t="s">
        <v>18</v>
      </c>
      <c r="D760">
        <v>15.6</v>
      </c>
      <c r="E760" t="str">
        <f t="shared" si="23"/>
        <v>156</v>
      </c>
      <c r="F760" t="s">
        <v>252</v>
      </c>
      <c r="G760" t="str">
        <f t="shared" si="22"/>
        <v>Ráquira, Boyacá, 156</v>
      </c>
    </row>
    <row r="761" spans="1:7" x14ac:dyDescent="0.25">
      <c r="A761" t="s">
        <v>117</v>
      </c>
      <c r="B761">
        <v>85</v>
      </c>
      <c r="C761" t="s">
        <v>802</v>
      </c>
      <c r="D761">
        <v>85.278999999999996</v>
      </c>
      <c r="E761" t="str">
        <f t="shared" si="23"/>
        <v>85279</v>
      </c>
      <c r="F761" t="s">
        <v>810</v>
      </c>
      <c r="G761" t="str">
        <f t="shared" si="22"/>
        <v>Recetor, Casanare, 85279</v>
      </c>
    </row>
    <row r="762" spans="1:7" x14ac:dyDescent="0.25">
      <c r="A762" t="s">
        <v>56</v>
      </c>
      <c r="B762">
        <v>13</v>
      </c>
      <c r="C762" t="s">
        <v>154</v>
      </c>
      <c r="D762">
        <v>13.58</v>
      </c>
      <c r="E762" t="str">
        <f t="shared" si="23"/>
        <v>1358</v>
      </c>
      <c r="F762" t="s">
        <v>172</v>
      </c>
      <c r="G762" t="str">
        <f t="shared" si="22"/>
        <v>Regidor, Bolívar, 1358</v>
      </c>
    </row>
    <row r="763" spans="1:7" x14ac:dyDescent="0.25">
      <c r="A763" t="s">
        <v>5</v>
      </c>
      <c r="B763">
        <v>5</v>
      </c>
      <c r="C763" t="s">
        <v>6</v>
      </c>
      <c r="D763">
        <v>5.6040000000000001</v>
      </c>
      <c r="E763" t="str">
        <f t="shared" si="23"/>
        <v>5604</v>
      </c>
      <c r="F763" t="s">
        <v>94</v>
      </c>
      <c r="G763" t="str">
        <f t="shared" si="22"/>
        <v>Remedios, Antioquia, 5604</v>
      </c>
    </row>
    <row r="764" spans="1:7" x14ac:dyDescent="0.25">
      <c r="A764" t="s">
        <v>56</v>
      </c>
      <c r="B764">
        <v>47</v>
      </c>
      <c r="C764" t="s">
        <v>570</v>
      </c>
      <c r="D764">
        <v>47.604999999999997</v>
      </c>
      <c r="E764" t="str">
        <f t="shared" si="23"/>
        <v>47605</v>
      </c>
      <c r="F764" t="s">
        <v>586</v>
      </c>
      <c r="G764" t="str">
        <f t="shared" si="22"/>
        <v>Remolino, Magdalena, 47605</v>
      </c>
    </row>
    <row r="765" spans="1:7" x14ac:dyDescent="0.25">
      <c r="A765" t="s">
        <v>56</v>
      </c>
      <c r="B765">
        <v>8</v>
      </c>
      <c r="C765" t="s">
        <v>137</v>
      </c>
      <c r="D765">
        <v>8.6059999999999999</v>
      </c>
      <c r="E765" t="str">
        <f t="shared" si="23"/>
        <v>8606</v>
      </c>
      <c r="F765" t="s">
        <v>1022</v>
      </c>
      <c r="G765" t="str">
        <f t="shared" si="22"/>
        <v>Repelón, Atlántico, 8606</v>
      </c>
    </row>
    <row r="766" spans="1:7" x14ac:dyDescent="0.25">
      <c r="A766" t="s">
        <v>117</v>
      </c>
      <c r="B766">
        <v>50</v>
      </c>
      <c r="C766" t="s">
        <v>118</v>
      </c>
      <c r="D766">
        <v>50.606000000000002</v>
      </c>
      <c r="E766" t="str">
        <f t="shared" si="23"/>
        <v>50606</v>
      </c>
      <c r="F766" t="s">
        <v>609</v>
      </c>
      <c r="G766" t="str">
        <f t="shared" si="22"/>
        <v>Restrepo, Meta, 50606</v>
      </c>
    </row>
    <row r="767" spans="1:7" x14ac:dyDescent="0.25">
      <c r="A767" t="s">
        <v>62</v>
      </c>
      <c r="B767">
        <v>76</v>
      </c>
      <c r="C767" t="s">
        <v>942</v>
      </c>
      <c r="D767">
        <v>76.605999999999995</v>
      </c>
      <c r="E767" t="str">
        <f t="shared" si="23"/>
        <v>76606</v>
      </c>
      <c r="F767" t="s">
        <v>609</v>
      </c>
      <c r="G767" t="str">
        <f t="shared" si="22"/>
        <v>Restrepo, Valle del Cauca, 76606</v>
      </c>
    </row>
    <row r="768" spans="1:7" x14ac:dyDescent="0.25">
      <c r="A768" t="s">
        <v>5</v>
      </c>
      <c r="B768">
        <v>5</v>
      </c>
      <c r="C768" t="s">
        <v>6</v>
      </c>
      <c r="D768">
        <v>5.6070000000000002</v>
      </c>
      <c r="E768" t="str">
        <f t="shared" si="23"/>
        <v>5607</v>
      </c>
      <c r="F768" t="s">
        <v>95</v>
      </c>
      <c r="G768" t="str">
        <f t="shared" si="22"/>
        <v>Retiro, Antioquia, 5607</v>
      </c>
    </row>
    <row r="769" spans="1:7" x14ac:dyDescent="0.25">
      <c r="A769" t="s">
        <v>17</v>
      </c>
      <c r="B769">
        <v>25</v>
      </c>
      <c r="C769" t="s">
        <v>409</v>
      </c>
      <c r="D769">
        <v>25.611999999999998</v>
      </c>
      <c r="E769" t="str">
        <f t="shared" si="23"/>
        <v>25612</v>
      </c>
      <c r="F769" t="s">
        <v>472</v>
      </c>
      <c r="G769" t="str">
        <f t="shared" si="22"/>
        <v>Ricaurte, Cundinamarca, 25612</v>
      </c>
    </row>
    <row r="770" spans="1:7" x14ac:dyDescent="0.25">
      <c r="A770" t="s">
        <v>62</v>
      </c>
      <c r="B770">
        <v>52</v>
      </c>
      <c r="C770" t="s">
        <v>84</v>
      </c>
      <c r="D770">
        <v>52.612000000000002</v>
      </c>
      <c r="E770" t="str">
        <f t="shared" si="23"/>
        <v>52612</v>
      </c>
      <c r="F770" t="s">
        <v>472</v>
      </c>
      <c r="G770" t="str">
        <f t="shared" ref="G770:G833" si="24">_xlfn.CONCAT(F770,", ",C770,", ",E770)</f>
        <v>Ricaurte, Nariño, 52612</v>
      </c>
    </row>
    <row r="771" spans="1:7" x14ac:dyDescent="0.25">
      <c r="A771" t="s">
        <v>316</v>
      </c>
      <c r="B771">
        <v>73</v>
      </c>
      <c r="C771" t="s">
        <v>757</v>
      </c>
      <c r="D771">
        <v>73.616</v>
      </c>
      <c r="E771" t="str">
        <f t="shared" ref="E771:E834" si="25">SUBSTITUTE(D771, ".", "",1)</f>
        <v>73616</v>
      </c>
      <c r="F771" t="s">
        <v>787</v>
      </c>
      <c r="G771" t="str">
        <f t="shared" si="24"/>
        <v>Rio Blanco, Tolima, 73616</v>
      </c>
    </row>
    <row r="772" spans="1:7" x14ac:dyDescent="0.25">
      <c r="A772" t="s">
        <v>56</v>
      </c>
      <c r="B772">
        <v>20</v>
      </c>
      <c r="C772" t="s">
        <v>362</v>
      </c>
      <c r="D772">
        <v>20.614000000000001</v>
      </c>
      <c r="E772" t="str">
        <f t="shared" si="25"/>
        <v>20614</v>
      </c>
      <c r="F772" t="s">
        <v>872</v>
      </c>
      <c r="G772" t="str">
        <f t="shared" si="24"/>
        <v>Río de Oro, Cesar, 20614</v>
      </c>
    </row>
    <row r="773" spans="1:7" x14ac:dyDescent="0.25">
      <c r="A773" t="s">
        <v>62</v>
      </c>
      <c r="B773">
        <v>27</v>
      </c>
      <c r="C773" t="s">
        <v>63</v>
      </c>
      <c r="D773">
        <v>27.58</v>
      </c>
      <c r="E773" t="str">
        <f t="shared" si="25"/>
        <v>2758</v>
      </c>
      <c r="F773" t="s">
        <v>521</v>
      </c>
      <c r="G773" t="str">
        <f t="shared" si="24"/>
        <v>Río Iro, Chocó, 2758</v>
      </c>
    </row>
    <row r="774" spans="1:7" x14ac:dyDescent="0.25">
      <c r="A774" t="s">
        <v>62</v>
      </c>
      <c r="B774">
        <v>27</v>
      </c>
      <c r="C774" t="s">
        <v>63</v>
      </c>
      <c r="D774">
        <v>27.6</v>
      </c>
      <c r="E774" t="str">
        <f t="shared" si="25"/>
        <v>276</v>
      </c>
      <c r="F774" t="s">
        <v>522</v>
      </c>
      <c r="G774" t="str">
        <f t="shared" si="24"/>
        <v>Río Quito, Chocó, 276</v>
      </c>
    </row>
    <row r="775" spans="1:7" x14ac:dyDescent="0.25">
      <c r="A775" t="s">
        <v>56</v>
      </c>
      <c r="B775">
        <v>13</v>
      </c>
      <c r="C775" t="s">
        <v>154</v>
      </c>
      <c r="D775">
        <v>13.6</v>
      </c>
      <c r="E775" t="str">
        <f t="shared" si="25"/>
        <v>136</v>
      </c>
      <c r="F775" t="s">
        <v>173</v>
      </c>
      <c r="G775" t="str">
        <f t="shared" si="24"/>
        <v>Río Viejo, Bolívar, 136</v>
      </c>
    </row>
    <row r="776" spans="1:7" x14ac:dyDescent="0.25">
      <c r="A776" t="s">
        <v>62</v>
      </c>
      <c r="B776">
        <v>76</v>
      </c>
      <c r="C776" t="s">
        <v>942</v>
      </c>
      <c r="D776">
        <v>76.616</v>
      </c>
      <c r="E776" t="str">
        <f t="shared" si="25"/>
        <v>76616</v>
      </c>
      <c r="F776" t="s">
        <v>991</v>
      </c>
      <c r="G776" t="str">
        <f t="shared" si="24"/>
        <v>Riofrío, Valle del Cauca, 76616</v>
      </c>
    </row>
    <row r="777" spans="1:7" x14ac:dyDescent="0.25">
      <c r="A777" t="s">
        <v>56</v>
      </c>
      <c r="B777">
        <v>44</v>
      </c>
      <c r="C777" t="s">
        <v>559</v>
      </c>
      <c r="D777">
        <v>44.000999999999998</v>
      </c>
      <c r="E777" t="str">
        <f t="shared" si="25"/>
        <v>44001</v>
      </c>
      <c r="F777" t="s">
        <v>560</v>
      </c>
      <c r="G777" t="str">
        <f t="shared" si="24"/>
        <v>Riohacha, La Guajira, 44001</v>
      </c>
    </row>
    <row r="778" spans="1:7" x14ac:dyDescent="0.25">
      <c r="A778" t="s">
        <v>5</v>
      </c>
      <c r="B778">
        <v>5</v>
      </c>
      <c r="C778" t="s">
        <v>6</v>
      </c>
      <c r="D778">
        <v>5.6150000000000002</v>
      </c>
      <c r="E778" t="str">
        <f t="shared" si="25"/>
        <v>5615</v>
      </c>
      <c r="F778" t="s">
        <v>96</v>
      </c>
      <c r="G778" t="str">
        <f t="shared" si="24"/>
        <v>Rionegro, Antioquia, 5615</v>
      </c>
    </row>
    <row r="779" spans="1:7" x14ac:dyDescent="0.25">
      <c r="A779" t="s">
        <v>17</v>
      </c>
      <c r="B779">
        <v>68</v>
      </c>
      <c r="C779" t="s">
        <v>104</v>
      </c>
      <c r="D779">
        <v>68.614999999999995</v>
      </c>
      <c r="E779" t="str">
        <f t="shared" si="25"/>
        <v>68615</v>
      </c>
      <c r="F779" t="s">
        <v>96</v>
      </c>
      <c r="G779" t="str">
        <f t="shared" si="24"/>
        <v>Rionegro, Santander, 68615</v>
      </c>
    </row>
    <row r="780" spans="1:7" x14ac:dyDescent="0.25">
      <c r="A780" t="s">
        <v>5</v>
      </c>
      <c r="B780">
        <v>17</v>
      </c>
      <c r="C780" t="s">
        <v>34</v>
      </c>
      <c r="D780">
        <v>17.614000000000001</v>
      </c>
      <c r="E780" t="str">
        <f t="shared" si="25"/>
        <v>17614</v>
      </c>
      <c r="F780" t="s">
        <v>307</v>
      </c>
      <c r="G780" t="str">
        <f t="shared" si="24"/>
        <v>Riosucio, Caldas, 17614</v>
      </c>
    </row>
    <row r="781" spans="1:7" x14ac:dyDescent="0.25">
      <c r="A781" t="s">
        <v>62</v>
      </c>
      <c r="B781">
        <v>27</v>
      </c>
      <c r="C781" t="s">
        <v>63</v>
      </c>
      <c r="D781">
        <v>27.614999999999998</v>
      </c>
      <c r="E781" t="str">
        <f t="shared" si="25"/>
        <v>27615</v>
      </c>
      <c r="F781" t="s">
        <v>307</v>
      </c>
      <c r="G781" t="str">
        <f t="shared" si="24"/>
        <v>Riosucio, Chocó, 27615</v>
      </c>
    </row>
    <row r="782" spans="1:7" x14ac:dyDescent="0.25">
      <c r="A782" t="s">
        <v>5</v>
      </c>
      <c r="B782">
        <v>17</v>
      </c>
      <c r="C782" t="s">
        <v>34</v>
      </c>
      <c r="D782">
        <v>17.616</v>
      </c>
      <c r="E782" t="str">
        <f t="shared" si="25"/>
        <v>17616</v>
      </c>
      <c r="F782" t="s">
        <v>308</v>
      </c>
      <c r="G782" t="str">
        <f t="shared" si="24"/>
        <v>Risaralda, Caldas, 17616</v>
      </c>
    </row>
    <row r="783" spans="1:7" x14ac:dyDescent="0.25">
      <c r="A783" t="s">
        <v>316</v>
      </c>
      <c r="B783">
        <v>41</v>
      </c>
      <c r="C783" t="s">
        <v>525</v>
      </c>
      <c r="D783">
        <v>41.615000000000002</v>
      </c>
      <c r="E783" t="str">
        <f t="shared" si="25"/>
        <v>41615</v>
      </c>
      <c r="F783" t="s">
        <v>549</v>
      </c>
      <c r="G783" t="str">
        <f t="shared" si="24"/>
        <v>Rivera, Huila, 41615</v>
      </c>
    </row>
    <row r="784" spans="1:7" x14ac:dyDescent="0.25">
      <c r="A784" t="s">
        <v>62</v>
      </c>
      <c r="B784">
        <v>52</v>
      </c>
      <c r="C784" t="s">
        <v>84</v>
      </c>
      <c r="D784">
        <v>52.621000000000002</v>
      </c>
      <c r="E784" t="str">
        <f t="shared" si="25"/>
        <v>52621</v>
      </c>
      <c r="F784" t="s">
        <v>650</v>
      </c>
      <c r="G784" t="str">
        <f t="shared" si="24"/>
        <v>Roberto Payán, Nariño, 52621</v>
      </c>
    </row>
    <row r="785" spans="1:7" x14ac:dyDescent="0.25">
      <c r="A785" t="s">
        <v>62</v>
      </c>
      <c r="B785">
        <v>76</v>
      </c>
      <c r="C785" t="s">
        <v>942</v>
      </c>
      <c r="D785">
        <v>76.622</v>
      </c>
      <c r="E785" t="str">
        <f t="shared" si="25"/>
        <v>76622</v>
      </c>
      <c r="F785" t="s">
        <v>944</v>
      </c>
      <c r="G785" t="str">
        <f t="shared" si="24"/>
        <v>Roldanillo, Valle del Cauca, 76622</v>
      </c>
    </row>
    <row r="786" spans="1:7" x14ac:dyDescent="0.25">
      <c r="A786" t="s">
        <v>316</v>
      </c>
      <c r="B786">
        <v>73</v>
      </c>
      <c r="C786" t="s">
        <v>757</v>
      </c>
      <c r="D786">
        <v>73.622</v>
      </c>
      <c r="E786" t="str">
        <f t="shared" si="25"/>
        <v>73622</v>
      </c>
      <c r="F786" t="s">
        <v>788</v>
      </c>
      <c r="G786" t="str">
        <f t="shared" si="24"/>
        <v>Roncesvalles, Tolima, 73622</v>
      </c>
    </row>
    <row r="787" spans="1:7" x14ac:dyDescent="0.25">
      <c r="A787" t="s">
        <v>17</v>
      </c>
      <c r="B787">
        <v>15</v>
      </c>
      <c r="C787" t="s">
        <v>18</v>
      </c>
      <c r="D787">
        <v>15.621</v>
      </c>
      <c r="E787" t="str">
        <f t="shared" si="25"/>
        <v>15621</v>
      </c>
      <c r="F787" t="s">
        <v>253</v>
      </c>
      <c r="G787" t="str">
        <f t="shared" si="24"/>
        <v>Rondón, Boyacá, 15621</v>
      </c>
    </row>
    <row r="788" spans="1:7" x14ac:dyDescent="0.25">
      <c r="A788" t="s">
        <v>62</v>
      </c>
      <c r="B788">
        <v>19</v>
      </c>
      <c r="C788" t="s">
        <v>327</v>
      </c>
      <c r="D788">
        <v>19.622</v>
      </c>
      <c r="E788" t="str">
        <f t="shared" si="25"/>
        <v>19622</v>
      </c>
      <c r="F788" t="s">
        <v>352</v>
      </c>
      <c r="G788" t="str">
        <f t="shared" si="24"/>
        <v>Rosas, Cauca, 19622</v>
      </c>
    </row>
    <row r="789" spans="1:7" x14ac:dyDescent="0.25">
      <c r="A789" t="s">
        <v>316</v>
      </c>
      <c r="B789">
        <v>73</v>
      </c>
      <c r="C789" t="s">
        <v>757</v>
      </c>
      <c r="D789">
        <v>73.623999999999995</v>
      </c>
      <c r="E789" t="str">
        <f t="shared" si="25"/>
        <v>73624</v>
      </c>
      <c r="F789" t="s">
        <v>789</v>
      </c>
      <c r="G789" t="str">
        <f t="shared" si="24"/>
        <v>Rovira, Tolima, 73624</v>
      </c>
    </row>
    <row r="790" spans="1:7" x14ac:dyDescent="0.25">
      <c r="A790" t="s">
        <v>17</v>
      </c>
      <c r="B790">
        <v>68</v>
      </c>
      <c r="C790" t="s">
        <v>104</v>
      </c>
      <c r="D790">
        <v>68.655000000000001</v>
      </c>
      <c r="E790" t="str">
        <f t="shared" si="25"/>
        <v>68655</v>
      </c>
      <c r="F790" t="s">
        <v>903</v>
      </c>
      <c r="G790" t="str">
        <f t="shared" si="24"/>
        <v>Sabana de Torres, Santander, 68655</v>
      </c>
    </row>
    <row r="791" spans="1:7" x14ac:dyDescent="0.25">
      <c r="A791" t="s">
        <v>56</v>
      </c>
      <c r="B791">
        <v>8</v>
      </c>
      <c r="C791" t="s">
        <v>137</v>
      </c>
      <c r="D791">
        <v>8.6340000000000003</v>
      </c>
      <c r="E791" t="str">
        <f t="shared" si="25"/>
        <v>8634</v>
      </c>
      <c r="F791" t="s">
        <v>147</v>
      </c>
      <c r="G791" t="str">
        <f t="shared" si="24"/>
        <v>Sabanagrande, Atlántico, 8634</v>
      </c>
    </row>
    <row r="792" spans="1:7" x14ac:dyDescent="0.25">
      <c r="A792" t="s">
        <v>5</v>
      </c>
      <c r="B792">
        <v>5</v>
      </c>
      <c r="C792" t="s">
        <v>6</v>
      </c>
      <c r="D792">
        <v>5.6280000000000001</v>
      </c>
      <c r="E792" t="str">
        <f t="shared" si="25"/>
        <v>5628</v>
      </c>
      <c r="F792" t="s">
        <v>97</v>
      </c>
      <c r="G792" t="str">
        <f t="shared" si="24"/>
        <v>Sabanalarga, Antioquia, 5628</v>
      </c>
    </row>
    <row r="793" spans="1:7" x14ac:dyDescent="0.25">
      <c r="A793" t="s">
        <v>56</v>
      </c>
      <c r="B793">
        <v>8</v>
      </c>
      <c r="C793" t="s">
        <v>137</v>
      </c>
      <c r="D793">
        <v>8.6379999999999999</v>
      </c>
      <c r="E793" t="str">
        <f t="shared" si="25"/>
        <v>8638</v>
      </c>
      <c r="F793" t="s">
        <v>97</v>
      </c>
      <c r="G793" t="str">
        <f t="shared" si="24"/>
        <v>Sabanalarga, Atlántico, 8638</v>
      </c>
    </row>
    <row r="794" spans="1:7" x14ac:dyDescent="0.25">
      <c r="A794" t="s">
        <v>117</v>
      </c>
      <c r="B794">
        <v>85</v>
      </c>
      <c r="C794" t="s">
        <v>802</v>
      </c>
      <c r="D794">
        <v>85.3</v>
      </c>
      <c r="E794" t="str">
        <f t="shared" si="25"/>
        <v>853</v>
      </c>
      <c r="F794" t="s">
        <v>97</v>
      </c>
      <c r="G794" t="str">
        <f t="shared" si="24"/>
        <v>Sabanalarga, Casanare, 853</v>
      </c>
    </row>
    <row r="795" spans="1:7" x14ac:dyDescent="0.25">
      <c r="A795" t="s">
        <v>56</v>
      </c>
      <c r="B795">
        <v>47</v>
      </c>
      <c r="C795" t="s">
        <v>570</v>
      </c>
      <c r="D795">
        <v>47.66</v>
      </c>
      <c r="E795" t="str">
        <f t="shared" si="25"/>
        <v>4766</v>
      </c>
      <c r="F795" t="s">
        <v>870</v>
      </c>
      <c r="G795" t="str">
        <f t="shared" si="24"/>
        <v>Sabanas de San Angel, Magdalena, 4766</v>
      </c>
    </row>
    <row r="796" spans="1:7" x14ac:dyDescent="0.25">
      <c r="A796" t="s">
        <v>5</v>
      </c>
      <c r="B796">
        <v>5</v>
      </c>
      <c r="C796" t="s">
        <v>6</v>
      </c>
      <c r="D796">
        <v>5.6310000000000002</v>
      </c>
      <c r="E796" t="str">
        <f t="shared" si="25"/>
        <v>5631</v>
      </c>
      <c r="F796" t="s">
        <v>98</v>
      </c>
      <c r="G796" t="str">
        <f t="shared" si="24"/>
        <v>Sabaneta, Antioquia, 5631</v>
      </c>
    </row>
    <row r="797" spans="1:7" x14ac:dyDescent="0.25">
      <c r="A797" t="s">
        <v>17</v>
      </c>
      <c r="B797">
        <v>15</v>
      </c>
      <c r="C797" t="s">
        <v>18</v>
      </c>
      <c r="D797">
        <v>15.632</v>
      </c>
      <c r="E797" t="str">
        <f t="shared" si="25"/>
        <v>15632</v>
      </c>
      <c r="F797" t="s">
        <v>254</v>
      </c>
      <c r="G797" t="str">
        <f t="shared" si="24"/>
        <v>Saboyá, Boyacá, 15632</v>
      </c>
    </row>
    <row r="798" spans="1:7" x14ac:dyDescent="0.25">
      <c r="A798" t="s">
        <v>117</v>
      </c>
      <c r="B798">
        <v>85</v>
      </c>
      <c r="C798" t="s">
        <v>802</v>
      </c>
      <c r="D798">
        <v>85.314999999999998</v>
      </c>
      <c r="E798" t="str">
        <f t="shared" si="25"/>
        <v>85315</v>
      </c>
      <c r="F798" t="s">
        <v>811</v>
      </c>
      <c r="G798" t="str">
        <f t="shared" si="24"/>
        <v>Sácama, Casanare, 85315</v>
      </c>
    </row>
    <row r="799" spans="1:7" x14ac:dyDescent="0.25">
      <c r="A799" t="s">
        <v>17</v>
      </c>
      <c r="B799">
        <v>15</v>
      </c>
      <c r="C799" t="s">
        <v>18</v>
      </c>
      <c r="D799">
        <v>15.638</v>
      </c>
      <c r="E799" t="str">
        <f t="shared" si="25"/>
        <v>15638</v>
      </c>
      <c r="F799" t="s">
        <v>255</v>
      </c>
      <c r="G799" t="str">
        <f t="shared" si="24"/>
        <v>Sáchica, Boyacá, 15638</v>
      </c>
    </row>
    <row r="800" spans="1:7" x14ac:dyDescent="0.25">
      <c r="A800" t="s">
        <v>56</v>
      </c>
      <c r="B800">
        <v>23</v>
      </c>
      <c r="C800" t="s">
        <v>57</v>
      </c>
      <c r="D800">
        <v>23.66</v>
      </c>
      <c r="E800" t="str">
        <f t="shared" si="25"/>
        <v>2366</v>
      </c>
      <c r="F800" t="s">
        <v>402</v>
      </c>
      <c r="G800" t="str">
        <f t="shared" si="24"/>
        <v>Sahagún, Córdoba, 2366</v>
      </c>
    </row>
    <row r="801" spans="1:7" x14ac:dyDescent="0.25">
      <c r="A801" t="s">
        <v>316</v>
      </c>
      <c r="B801">
        <v>41</v>
      </c>
      <c r="C801" t="s">
        <v>525</v>
      </c>
      <c r="D801">
        <v>41.66</v>
      </c>
      <c r="E801" t="str">
        <f t="shared" si="25"/>
        <v>4166</v>
      </c>
      <c r="F801" t="s">
        <v>550</v>
      </c>
      <c r="G801" t="str">
        <f t="shared" si="24"/>
        <v>Saladoblanco, Huila, 4166</v>
      </c>
    </row>
    <row r="802" spans="1:7" x14ac:dyDescent="0.25">
      <c r="A802" t="s">
        <v>5</v>
      </c>
      <c r="B802">
        <v>17</v>
      </c>
      <c r="C802" t="s">
        <v>34</v>
      </c>
      <c r="D802">
        <v>17.652999999999999</v>
      </c>
      <c r="E802" t="str">
        <f t="shared" si="25"/>
        <v>17653</v>
      </c>
      <c r="F802" t="s">
        <v>309</v>
      </c>
      <c r="G802" t="str">
        <f t="shared" si="24"/>
        <v>Salamina, Caldas, 17653</v>
      </c>
    </row>
    <row r="803" spans="1:7" x14ac:dyDescent="0.25">
      <c r="A803" t="s">
        <v>56</v>
      </c>
      <c r="B803">
        <v>47</v>
      </c>
      <c r="C803" t="s">
        <v>570</v>
      </c>
      <c r="D803">
        <v>47.674999999999997</v>
      </c>
      <c r="E803" t="str">
        <f t="shared" si="25"/>
        <v>47675</v>
      </c>
      <c r="F803" t="s">
        <v>309</v>
      </c>
      <c r="G803" t="str">
        <f t="shared" si="24"/>
        <v>Salamina, Magdalena, 47675</v>
      </c>
    </row>
    <row r="804" spans="1:7" x14ac:dyDescent="0.25">
      <c r="A804" t="s">
        <v>17</v>
      </c>
      <c r="B804">
        <v>54</v>
      </c>
      <c r="C804" t="s">
        <v>939</v>
      </c>
      <c r="D804">
        <v>54.66</v>
      </c>
      <c r="E804" t="str">
        <f t="shared" si="25"/>
        <v>5466</v>
      </c>
      <c r="F804" t="s">
        <v>947</v>
      </c>
      <c r="G804" t="str">
        <f t="shared" si="24"/>
        <v>Salazar, Norte de Santander, 5466</v>
      </c>
    </row>
    <row r="805" spans="1:7" x14ac:dyDescent="0.25">
      <c r="A805" t="s">
        <v>316</v>
      </c>
      <c r="B805">
        <v>73</v>
      </c>
      <c r="C805" t="s">
        <v>757</v>
      </c>
      <c r="D805">
        <v>73.671000000000006</v>
      </c>
      <c r="E805" t="str">
        <f t="shared" si="25"/>
        <v>73671</v>
      </c>
      <c r="F805" t="s">
        <v>790</v>
      </c>
      <c r="G805" t="str">
        <f t="shared" si="24"/>
        <v>Saldaña, Tolima, 73671</v>
      </c>
    </row>
    <row r="806" spans="1:7" x14ac:dyDescent="0.25">
      <c r="A806" t="s">
        <v>5</v>
      </c>
      <c r="B806">
        <v>63</v>
      </c>
      <c r="C806" t="s">
        <v>660</v>
      </c>
      <c r="D806">
        <v>63.69</v>
      </c>
      <c r="E806" t="str">
        <f t="shared" si="25"/>
        <v>6369</v>
      </c>
      <c r="F806" t="s">
        <v>667</v>
      </c>
      <c r="G806" t="str">
        <f t="shared" si="24"/>
        <v>Salento, Quindío, 6369</v>
      </c>
    </row>
    <row r="807" spans="1:7" x14ac:dyDescent="0.25">
      <c r="A807" t="s">
        <v>5</v>
      </c>
      <c r="B807">
        <v>5</v>
      </c>
      <c r="C807" t="s">
        <v>6</v>
      </c>
      <c r="D807">
        <v>5.6420000000000003</v>
      </c>
      <c r="E807" t="str">
        <f t="shared" si="25"/>
        <v>5642</v>
      </c>
      <c r="F807" t="s">
        <v>99</v>
      </c>
      <c r="G807" t="str">
        <f t="shared" si="24"/>
        <v>Salgar, Antioquia, 5642</v>
      </c>
    </row>
    <row r="808" spans="1:7" x14ac:dyDescent="0.25">
      <c r="A808" t="s">
        <v>17</v>
      </c>
      <c r="B808">
        <v>15</v>
      </c>
      <c r="C808" t="s">
        <v>18</v>
      </c>
      <c r="D808">
        <v>15.646000000000001</v>
      </c>
      <c r="E808" t="str">
        <f t="shared" si="25"/>
        <v>15646</v>
      </c>
      <c r="F808" t="s">
        <v>256</v>
      </c>
      <c r="G808" t="str">
        <f t="shared" si="24"/>
        <v>Samacá, Boyacá, 15646</v>
      </c>
    </row>
    <row r="809" spans="1:7" x14ac:dyDescent="0.25">
      <c r="A809" t="s">
        <v>5</v>
      </c>
      <c r="B809">
        <v>17</v>
      </c>
      <c r="C809" t="s">
        <v>34</v>
      </c>
      <c r="D809">
        <v>17.661999999999999</v>
      </c>
      <c r="E809" t="str">
        <f t="shared" si="25"/>
        <v>17662</v>
      </c>
      <c r="F809" t="s">
        <v>310</v>
      </c>
      <c r="G809" t="str">
        <f t="shared" si="24"/>
        <v>Samaná, Caldas, 17662</v>
      </c>
    </row>
    <row r="810" spans="1:7" x14ac:dyDescent="0.25">
      <c r="A810" t="s">
        <v>62</v>
      </c>
      <c r="B810">
        <v>52</v>
      </c>
      <c r="C810" t="s">
        <v>84</v>
      </c>
      <c r="D810">
        <v>52.677999999999997</v>
      </c>
      <c r="E810" t="str">
        <f t="shared" si="25"/>
        <v>52678</v>
      </c>
      <c r="F810" t="s">
        <v>651</v>
      </c>
      <c r="G810" t="str">
        <f t="shared" si="24"/>
        <v>Samaniego, Nariño, 52678</v>
      </c>
    </row>
    <row r="811" spans="1:7" x14ac:dyDescent="0.25">
      <c r="A811" t="s">
        <v>56</v>
      </c>
      <c r="B811">
        <v>70</v>
      </c>
      <c r="C811" t="s">
        <v>356</v>
      </c>
      <c r="D811">
        <v>70.67</v>
      </c>
      <c r="E811" t="str">
        <f t="shared" si="25"/>
        <v>7067</v>
      </c>
      <c r="F811" t="s">
        <v>1004</v>
      </c>
      <c r="G811" t="str">
        <f t="shared" si="24"/>
        <v>Sampués, Sucre, 7067</v>
      </c>
    </row>
    <row r="812" spans="1:7" x14ac:dyDescent="0.25">
      <c r="A812" t="s">
        <v>316</v>
      </c>
      <c r="B812">
        <v>41</v>
      </c>
      <c r="C812" t="s">
        <v>525</v>
      </c>
      <c r="D812">
        <v>41.667999999999999</v>
      </c>
      <c r="E812" t="str">
        <f t="shared" si="25"/>
        <v>41668</v>
      </c>
      <c r="F812" t="s">
        <v>914</v>
      </c>
      <c r="G812" t="str">
        <f t="shared" si="24"/>
        <v>San Agustín, Huila, 41668</v>
      </c>
    </row>
    <row r="813" spans="1:7" x14ac:dyDescent="0.25">
      <c r="A813" t="s">
        <v>56</v>
      </c>
      <c r="B813">
        <v>20</v>
      </c>
      <c r="C813" t="s">
        <v>362</v>
      </c>
      <c r="D813">
        <v>20.71</v>
      </c>
      <c r="E813" t="str">
        <f t="shared" si="25"/>
        <v>2071</v>
      </c>
      <c r="F813" t="s">
        <v>382</v>
      </c>
      <c r="G813" t="str">
        <f t="shared" si="24"/>
        <v>San Alberto, Cesar, 2071</v>
      </c>
    </row>
    <row r="814" spans="1:7" x14ac:dyDescent="0.25">
      <c r="A814" t="s">
        <v>5</v>
      </c>
      <c r="B814">
        <v>5</v>
      </c>
      <c r="C814" t="s">
        <v>6</v>
      </c>
      <c r="D814">
        <v>5.6470000000000002</v>
      </c>
      <c r="E814" t="str">
        <f t="shared" si="25"/>
        <v>5647</v>
      </c>
      <c r="F814" t="s">
        <v>881</v>
      </c>
      <c r="G814" t="str">
        <f t="shared" si="24"/>
        <v>San Andrés de Cuerquía, Antioquia, 5647</v>
      </c>
    </row>
    <row r="815" spans="1:7" x14ac:dyDescent="0.25">
      <c r="A815" t="s">
        <v>62</v>
      </c>
      <c r="B815">
        <v>52</v>
      </c>
      <c r="C815" t="s">
        <v>84</v>
      </c>
      <c r="D815">
        <v>52.835000000000001</v>
      </c>
      <c r="E815" t="str">
        <f t="shared" si="25"/>
        <v>52835</v>
      </c>
      <c r="F815" t="s">
        <v>1017</v>
      </c>
      <c r="G815" t="str">
        <f t="shared" si="24"/>
        <v>San Andrés de Tumaco, Nariño, 52835</v>
      </c>
    </row>
    <row r="816" spans="1:7" x14ac:dyDescent="0.25">
      <c r="A816" t="s">
        <v>56</v>
      </c>
      <c r="B816">
        <v>23</v>
      </c>
      <c r="C816" t="s">
        <v>57</v>
      </c>
      <c r="D816">
        <v>23.67</v>
      </c>
      <c r="E816" t="str">
        <f t="shared" si="25"/>
        <v>2367</v>
      </c>
      <c r="F816" t="s">
        <v>403</v>
      </c>
      <c r="G816" t="str">
        <f t="shared" si="24"/>
        <v>San Andrés Sotavento, Córdoba, 2367</v>
      </c>
    </row>
    <row r="817" spans="1:7" x14ac:dyDescent="0.25">
      <c r="A817" t="s">
        <v>56</v>
      </c>
      <c r="B817">
        <v>88</v>
      </c>
      <c r="C817" s="6" t="s">
        <v>1077</v>
      </c>
      <c r="D817">
        <v>88.001000000000005</v>
      </c>
      <c r="E817" t="str">
        <f t="shared" si="25"/>
        <v>88001</v>
      </c>
      <c r="F817" t="s">
        <v>728</v>
      </c>
      <c r="G817" t="str">
        <f t="shared" si="24"/>
        <v>San Andrés, Archipiélago de San Andrés - Providencia y Santa Catalina, 88001</v>
      </c>
    </row>
    <row r="818" spans="1:7" x14ac:dyDescent="0.25">
      <c r="A818" t="s">
        <v>17</v>
      </c>
      <c r="B818">
        <v>68</v>
      </c>
      <c r="C818" t="s">
        <v>104</v>
      </c>
      <c r="D818">
        <v>68.668999999999997</v>
      </c>
      <c r="E818" t="str">
        <f t="shared" si="25"/>
        <v>68669</v>
      </c>
      <c r="F818" t="s">
        <v>728</v>
      </c>
      <c r="G818" t="str">
        <f t="shared" si="24"/>
        <v>San Andrés, Santander, 68669</v>
      </c>
    </row>
    <row r="819" spans="1:7" x14ac:dyDescent="0.25">
      <c r="A819" t="s">
        <v>56</v>
      </c>
      <c r="B819">
        <v>23</v>
      </c>
      <c r="C819" t="s">
        <v>57</v>
      </c>
      <c r="D819">
        <v>23.672000000000001</v>
      </c>
      <c r="E819" t="str">
        <f t="shared" si="25"/>
        <v>23672</v>
      </c>
      <c r="F819" t="s">
        <v>404</v>
      </c>
      <c r="G819" t="str">
        <f t="shared" si="24"/>
        <v>San Antero, Córdoba, 23672</v>
      </c>
    </row>
    <row r="820" spans="1:7" x14ac:dyDescent="0.25">
      <c r="A820" t="s">
        <v>17</v>
      </c>
      <c r="B820">
        <v>25</v>
      </c>
      <c r="C820" t="s">
        <v>409</v>
      </c>
      <c r="D820">
        <v>25.645</v>
      </c>
      <c r="E820" t="str">
        <f t="shared" si="25"/>
        <v>25645</v>
      </c>
      <c r="F820" t="s">
        <v>902</v>
      </c>
      <c r="G820" t="str">
        <f t="shared" si="24"/>
        <v>San Antonio del Tequendama, Cundinamarca, 25645</v>
      </c>
    </row>
    <row r="821" spans="1:7" x14ac:dyDescent="0.25">
      <c r="A821" t="s">
        <v>316</v>
      </c>
      <c r="B821">
        <v>73</v>
      </c>
      <c r="C821" t="s">
        <v>757</v>
      </c>
      <c r="D821">
        <v>73.674999999999997</v>
      </c>
      <c r="E821" t="str">
        <f t="shared" si="25"/>
        <v>73675</v>
      </c>
      <c r="F821" t="s">
        <v>930</v>
      </c>
      <c r="G821" t="str">
        <f t="shared" si="24"/>
        <v>San Antonio, Tolima, 73675</v>
      </c>
    </row>
    <row r="822" spans="1:7" x14ac:dyDescent="0.25">
      <c r="A822" t="s">
        <v>56</v>
      </c>
      <c r="B822">
        <v>70</v>
      </c>
      <c r="C822" t="s">
        <v>356</v>
      </c>
      <c r="D822">
        <v>70.677999999999997</v>
      </c>
      <c r="E822" t="str">
        <f t="shared" si="25"/>
        <v>70678</v>
      </c>
      <c r="F822" t="s">
        <v>753</v>
      </c>
      <c r="G822" t="str">
        <f t="shared" si="24"/>
        <v>San Benito Abad, Sucre, 70678</v>
      </c>
    </row>
    <row r="823" spans="1:7" x14ac:dyDescent="0.25">
      <c r="A823" t="s">
        <v>17</v>
      </c>
      <c r="B823">
        <v>68</v>
      </c>
      <c r="C823" t="s">
        <v>104</v>
      </c>
      <c r="D823">
        <v>68.673000000000002</v>
      </c>
      <c r="E823" t="str">
        <f t="shared" si="25"/>
        <v>68673</v>
      </c>
      <c r="F823" t="s">
        <v>931</v>
      </c>
      <c r="G823" t="str">
        <f t="shared" si="24"/>
        <v>San Benito, Santander, 68673</v>
      </c>
    </row>
    <row r="824" spans="1:7" x14ac:dyDescent="0.25">
      <c r="A824" t="s">
        <v>56</v>
      </c>
      <c r="B824">
        <v>23</v>
      </c>
      <c r="C824" t="s">
        <v>57</v>
      </c>
      <c r="D824">
        <v>23.675000000000001</v>
      </c>
      <c r="E824" t="str">
        <f t="shared" si="25"/>
        <v>23675</v>
      </c>
      <c r="F824" t="s">
        <v>58</v>
      </c>
      <c r="G824" t="str">
        <f t="shared" si="24"/>
        <v>San Bernardo del Viento, Córdoba, 23675</v>
      </c>
    </row>
    <row r="825" spans="1:7" x14ac:dyDescent="0.25">
      <c r="A825" t="s">
        <v>17</v>
      </c>
      <c r="B825">
        <v>25</v>
      </c>
      <c r="C825" t="s">
        <v>409</v>
      </c>
      <c r="D825">
        <v>25.649000000000001</v>
      </c>
      <c r="E825" t="str">
        <f t="shared" si="25"/>
        <v>25649</v>
      </c>
      <c r="F825" t="s">
        <v>473</v>
      </c>
      <c r="G825" t="str">
        <f t="shared" si="24"/>
        <v>San Bernardo, Cundinamarca, 25649</v>
      </c>
    </row>
    <row r="826" spans="1:7" x14ac:dyDescent="0.25">
      <c r="A826" t="s">
        <v>62</v>
      </c>
      <c r="B826">
        <v>52</v>
      </c>
      <c r="C826" t="s">
        <v>84</v>
      </c>
      <c r="D826">
        <v>52.685000000000002</v>
      </c>
      <c r="E826" t="str">
        <f t="shared" si="25"/>
        <v>52685</v>
      </c>
      <c r="F826" t="s">
        <v>473</v>
      </c>
      <c r="G826" t="str">
        <f t="shared" si="24"/>
        <v>San Bernardo, Nariño, 52685</v>
      </c>
    </row>
    <row r="827" spans="1:7" x14ac:dyDescent="0.25">
      <c r="A827" t="s">
        <v>17</v>
      </c>
      <c r="B827">
        <v>54</v>
      </c>
      <c r="C827" t="s">
        <v>939</v>
      </c>
      <c r="D827">
        <v>54.67</v>
      </c>
      <c r="E827" t="str">
        <f t="shared" si="25"/>
        <v>5467</v>
      </c>
      <c r="F827" t="s">
        <v>972</v>
      </c>
      <c r="G827" t="str">
        <f t="shared" si="24"/>
        <v>San Calixto, Norte de Santander, 5467</v>
      </c>
    </row>
    <row r="828" spans="1:7" x14ac:dyDescent="0.25">
      <c r="A828" t="s">
        <v>117</v>
      </c>
      <c r="B828">
        <v>50</v>
      </c>
      <c r="C828" t="s">
        <v>118</v>
      </c>
      <c r="D828">
        <v>50.68</v>
      </c>
      <c r="E828" t="str">
        <f t="shared" si="25"/>
        <v>5068</v>
      </c>
      <c r="F828" t="s">
        <v>878</v>
      </c>
      <c r="G828" t="str">
        <f t="shared" si="24"/>
        <v>San Carlos de Guaroa, Meta, 5068</v>
      </c>
    </row>
    <row r="829" spans="1:7" x14ac:dyDescent="0.25">
      <c r="A829" t="s">
        <v>5</v>
      </c>
      <c r="B829">
        <v>5</v>
      </c>
      <c r="C829" t="s">
        <v>6</v>
      </c>
      <c r="D829">
        <v>5.649</v>
      </c>
      <c r="E829" t="str">
        <f t="shared" si="25"/>
        <v>5649</v>
      </c>
      <c r="F829" t="s">
        <v>933</v>
      </c>
      <c r="G829" t="str">
        <f t="shared" si="24"/>
        <v>San Carlos, Antioquia, 5649</v>
      </c>
    </row>
    <row r="830" spans="1:7" x14ac:dyDescent="0.25">
      <c r="A830" t="s">
        <v>56</v>
      </c>
      <c r="B830">
        <v>23</v>
      </c>
      <c r="C830" t="s">
        <v>57</v>
      </c>
      <c r="D830">
        <v>23.678000000000001</v>
      </c>
      <c r="E830" t="str">
        <f t="shared" si="25"/>
        <v>23678</v>
      </c>
      <c r="F830" t="s">
        <v>933</v>
      </c>
      <c r="G830" t="str">
        <f t="shared" si="24"/>
        <v>San Carlos, Córdoba, 23678</v>
      </c>
    </row>
    <row r="831" spans="1:7" x14ac:dyDescent="0.25">
      <c r="A831" t="s">
        <v>17</v>
      </c>
      <c r="B831">
        <v>25</v>
      </c>
      <c r="C831" t="s">
        <v>409</v>
      </c>
      <c r="D831">
        <v>25.652999999999999</v>
      </c>
      <c r="E831" t="str">
        <f t="shared" si="25"/>
        <v>25653</v>
      </c>
      <c r="F831" t="s">
        <v>474</v>
      </c>
      <c r="G831" t="str">
        <f t="shared" si="24"/>
        <v>San Cayetano, Cundinamarca, 25653</v>
      </c>
    </row>
    <row r="832" spans="1:7" x14ac:dyDescent="0.25">
      <c r="A832" t="s">
        <v>17</v>
      </c>
      <c r="B832">
        <v>54</v>
      </c>
      <c r="C832" t="s">
        <v>939</v>
      </c>
      <c r="D832">
        <v>54.673000000000002</v>
      </c>
      <c r="E832" t="str">
        <f t="shared" si="25"/>
        <v>54673</v>
      </c>
      <c r="F832" t="s">
        <v>474</v>
      </c>
      <c r="G832" t="str">
        <f t="shared" si="24"/>
        <v>San Cayetano, Norte de Santander, 54673</v>
      </c>
    </row>
    <row r="833" spans="1:7" x14ac:dyDescent="0.25">
      <c r="A833" t="s">
        <v>56</v>
      </c>
      <c r="B833">
        <v>13</v>
      </c>
      <c r="C833" t="s">
        <v>154</v>
      </c>
      <c r="D833">
        <v>13.62</v>
      </c>
      <c r="E833" t="str">
        <f t="shared" si="25"/>
        <v>1362</v>
      </c>
      <c r="F833" t="s">
        <v>1052</v>
      </c>
      <c r="G833" t="str">
        <f t="shared" si="24"/>
        <v>San Cristóbal, Bolívar, 1362</v>
      </c>
    </row>
    <row r="834" spans="1:7" x14ac:dyDescent="0.25">
      <c r="A834" t="s">
        <v>56</v>
      </c>
      <c r="B834">
        <v>20</v>
      </c>
      <c r="C834" t="s">
        <v>362</v>
      </c>
      <c r="D834">
        <v>20.75</v>
      </c>
      <c r="E834" t="str">
        <f t="shared" si="25"/>
        <v>2075</v>
      </c>
      <c r="F834" t="s">
        <v>383</v>
      </c>
      <c r="G834" t="str">
        <f t="shared" ref="G834:G897" si="26">_xlfn.CONCAT(F834,", ",C834,", ",E834)</f>
        <v>San Diego, Cesar, 2075</v>
      </c>
    </row>
    <row r="835" spans="1:7" x14ac:dyDescent="0.25">
      <c r="A835" t="s">
        <v>17</v>
      </c>
      <c r="B835">
        <v>15</v>
      </c>
      <c r="C835" t="s">
        <v>18</v>
      </c>
      <c r="D835">
        <v>15.66</v>
      </c>
      <c r="E835" t="str">
        <f t="shared" ref="E835:E898" si="27">SUBSTITUTE(D835, ".", "",1)</f>
        <v>1566</v>
      </c>
      <c r="F835" t="s">
        <v>257</v>
      </c>
      <c r="G835" t="str">
        <f t="shared" si="26"/>
        <v>San Eduardo, Boyacá, 1566</v>
      </c>
    </row>
    <row r="836" spans="1:7" x14ac:dyDescent="0.25">
      <c r="A836" t="s">
        <v>56</v>
      </c>
      <c r="B836">
        <v>13</v>
      </c>
      <c r="C836" t="s">
        <v>154</v>
      </c>
      <c r="D836">
        <v>13.647</v>
      </c>
      <c r="E836" t="str">
        <f t="shared" si="27"/>
        <v>13647</v>
      </c>
      <c r="F836" t="s">
        <v>174</v>
      </c>
      <c r="G836" t="str">
        <f t="shared" si="26"/>
        <v>San Estanislao, Bolívar, 13647</v>
      </c>
    </row>
    <row r="837" spans="1:7" x14ac:dyDescent="0.25">
      <c r="A837" t="s">
        <v>117</v>
      </c>
      <c r="B837">
        <v>94</v>
      </c>
      <c r="C837" t="s">
        <v>831</v>
      </c>
      <c r="D837">
        <v>94.882999999999996</v>
      </c>
      <c r="E837" t="str">
        <f t="shared" si="27"/>
        <v>94883</v>
      </c>
      <c r="F837" t="s">
        <v>835</v>
      </c>
      <c r="G837" t="str">
        <f t="shared" si="26"/>
        <v>San Felipe, Guainía, 94883</v>
      </c>
    </row>
    <row r="838" spans="1:7" x14ac:dyDescent="0.25">
      <c r="A838" t="s">
        <v>56</v>
      </c>
      <c r="B838">
        <v>13</v>
      </c>
      <c r="C838" t="s">
        <v>154</v>
      </c>
      <c r="D838">
        <v>13.65</v>
      </c>
      <c r="E838" t="str">
        <f t="shared" si="27"/>
        <v>1365</v>
      </c>
      <c r="F838" t="s">
        <v>175</v>
      </c>
      <c r="G838" t="str">
        <f t="shared" si="26"/>
        <v>San Fernando, Bolívar, 1365</v>
      </c>
    </row>
    <row r="839" spans="1:7" x14ac:dyDescent="0.25">
      <c r="A839" t="s">
        <v>5</v>
      </c>
      <c r="B839">
        <v>5</v>
      </c>
      <c r="C839" t="s">
        <v>6</v>
      </c>
      <c r="D839">
        <v>5.6520000000000001</v>
      </c>
      <c r="E839" t="str">
        <f t="shared" si="27"/>
        <v>5652</v>
      </c>
      <c r="F839" t="s">
        <v>102</v>
      </c>
      <c r="G839" t="str">
        <f t="shared" si="26"/>
        <v>San Francisco, Antioquia, 5652</v>
      </c>
    </row>
    <row r="840" spans="1:7" x14ac:dyDescent="0.25">
      <c r="A840" t="s">
        <v>17</v>
      </c>
      <c r="B840">
        <v>25</v>
      </c>
      <c r="C840" t="s">
        <v>409</v>
      </c>
      <c r="D840">
        <v>25.658000000000001</v>
      </c>
      <c r="E840" t="str">
        <f t="shared" si="27"/>
        <v>25658</v>
      </c>
      <c r="F840" t="s">
        <v>102</v>
      </c>
      <c r="G840" t="str">
        <f t="shared" si="26"/>
        <v>San Francisco, Cundinamarca, 25658</v>
      </c>
    </row>
    <row r="841" spans="1:7" x14ac:dyDescent="0.25">
      <c r="A841" t="s">
        <v>316</v>
      </c>
      <c r="B841">
        <v>86</v>
      </c>
      <c r="C841" t="s">
        <v>814</v>
      </c>
      <c r="D841">
        <v>86.754999999999995</v>
      </c>
      <c r="E841" t="str">
        <f t="shared" si="27"/>
        <v>86755</v>
      </c>
      <c r="F841" t="s">
        <v>102</v>
      </c>
      <c r="G841" t="str">
        <f t="shared" si="26"/>
        <v>San Francisco, Putumayo, 86755</v>
      </c>
    </row>
    <row r="842" spans="1:7" x14ac:dyDescent="0.25">
      <c r="A842" t="s">
        <v>17</v>
      </c>
      <c r="B842">
        <v>68</v>
      </c>
      <c r="C842" t="s">
        <v>104</v>
      </c>
      <c r="D842">
        <v>68.679000000000002</v>
      </c>
      <c r="E842" t="str">
        <f t="shared" si="27"/>
        <v>68679</v>
      </c>
      <c r="F842" t="s">
        <v>729</v>
      </c>
      <c r="G842" t="str">
        <f t="shared" si="26"/>
        <v>San Gil, Santander, 68679</v>
      </c>
    </row>
    <row r="843" spans="1:7" x14ac:dyDescent="0.25">
      <c r="A843" t="s">
        <v>56</v>
      </c>
      <c r="B843">
        <v>13</v>
      </c>
      <c r="C843" t="s">
        <v>154</v>
      </c>
      <c r="D843">
        <v>13.654999999999999</v>
      </c>
      <c r="E843" t="str">
        <f t="shared" si="27"/>
        <v>13655</v>
      </c>
      <c r="F843" t="s">
        <v>913</v>
      </c>
      <c r="G843" t="str">
        <f t="shared" si="26"/>
        <v>San Jacinto del Cauca, Bolívar, 13655</v>
      </c>
    </row>
    <row r="844" spans="1:7" x14ac:dyDescent="0.25">
      <c r="A844" t="s">
        <v>56</v>
      </c>
      <c r="B844">
        <v>13</v>
      </c>
      <c r="C844" t="s">
        <v>154</v>
      </c>
      <c r="D844">
        <v>13.654</v>
      </c>
      <c r="E844" t="str">
        <f t="shared" si="27"/>
        <v>13654</v>
      </c>
      <c r="F844" t="s">
        <v>936</v>
      </c>
      <c r="G844" t="str">
        <f t="shared" si="26"/>
        <v>San Jacinto, Bolívar, 13654</v>
      </c>
    </row>
    <row r="845" spans="1:7" x14ac:dyDescent="0.25">
      <c r="A845" t="s">
        <v>5</v>
      </c>
      <c r="B845">
        <v>5</v>
      </c>
      <c r="C845" t="s">
        <v>6</v>
      </c>
      <c r="D845">
        <v>5.6559999999999997</v>
      </c>
      <c r="E845" t="str">
        <f t="shared" si="27"/>
        <v>5656</v>
      </c>
      <c r="F845" t="s">
        <v>103</v>
      </c>
      <c r="G845" t="str">
        <f t="shared" si="26"/>
        <v>San Jerónimo, Antioquia, 5656</v>
      </c>
    </row>
    <row r="846" spans="1:7" x14ac:dyDescent="0.25">
      <c r="A846" t="s">
        <v>17</v>
      </c>
      <c r="B846">
        <v>68</v>
      </c>
      <c r="C846" t="s">
        <v>104</v>
      </c>
      <c r="D846">
        <v>68.682000000000002</v>
      </c>
      <c r="E846" t="str">
        <f t="shared" si="27"/>
        <v>68682</v>
      </c>
      <c r="F846" t="s">
        <v>730</v>
      </c>
      <c r="G846" t="str">
        <f t="shared" si="26"/>
        <v>San Joaquín, Santander, 68682</v>
      </c>
    </row>
    <row r="847" spans="1:7" x14ac:dyDescent="0.25">
      <c r="A847" t="s">
        <v>5</v>
      </c>
      <c r="B847">
        <v>5</v>
      </c>
      <c r="C847" t="s">
        <v>6</v>
      </c>
      <c r="D847">
        <v>5.6580000000000004</v>
      </c>
      <c r="E847" t="str">
        <f t="shared" si="27"/>
        <v>5658</v>
      </c>
      <c r="F847" t="s">
        <v>909</v>
      </c>
      <c r="G847" t="str">
        <f t="shared" si="26"/>
        <v>San José de La Montaña, Antioquia, 5658</v>
      </c>
    </row>
    <row r="848" spans="1:7" x14ac:dyDescent="0.25">
      <c r="A848" t="s">
        <v>17</v>
      </c>
      <c r="B848">
        <v>68</v>
      </c>
      <c r="C848" t="s">
        <v>104</v>
      </c>
      <c r="D848">
        <v>68.683999999999997</v>
      </c>
      <c r="E848" t="str">
        <f t="shared" si="27"/>
        <v>68684</v>
      </c>
      <c r="F848" t="s">
        <v>884</v>
      </c>
      <c r="G848" t="str">
        <f t="shared" si="26"/>
        <v>San José de Miranda, Santander, 68684</v>
      </c>
    </row>
    <row r="849" spans="1:7" x14ac:dyDescent="0.25">
      <c r="A849" t="s">
        <v>17</v>
      </c>
      <c r="B849">
        <v>15</v>
      </c>
      <c r="C849" t="s">
        <v>18</v>
      </c>
      <c r="D849">
        <v>15.664</v>
      </c>
      <c r="E849" t="str">
        <f t="shared" si="27"/>
        <v>15664</v>
      </c>
      <c r="F849" t="s">
        <v>916</v>
      </c>
      <c r="G849" t="str">
        <f t="shared" si="26"/>
        <v>San José de Pare, Boyacá, 15664</v>
      </c>
    </row>
    <row r="850" spans="1:7" x14ac:dyDescent="0.25">
      <c r="A850" t="s">
        <v>56</v>
      </c>
      <c r="B850">
        <v>23</v>
      </c>
      <c r="C850" t="s">
        <v>57</v>
      </c>
      <c r="D850">
        <v>23.681999999999999</v>
      </c>
      <c r="E850" t="str">
        <f t="shared" si="27"/>
        <v>23682</v>
      </c>
      <c r="F850" t="s">
        <v>905</v>
      </c>
      <c r="G850" t="str">
        <f t="shared" si="26"/>
        <v>San José de Uré, Córdoba, 23682</v>
      </c>
    </row>
    <row r="851" spans="1:7" x14ac:dyDescent="0.25">
      <c r="A851" t="s">
        <v>316</v>
      </c>
      <c r="B851">
        <v>18</v>
      </c>
      <c r="C851" t="s">
        <v>317</v>
      </c>
      <c r="D851">
        <v>18.61</v>
      </c>
      <c r="E851" t="str">
        <f t="shared" si="27"/>
        <v>1861</v>
      </c>
      <c r="F851" t="s">
        <v>853</v>
      </c>
      <c r="G851" t="str">
        <f t="shared" si="26"/>
        <v>San José del Fragua, Caquetá, 1861</v>
      </c>
    </row>
    <row r="852" spans="1:7" x14ac:dyDescent="0.25">
      <c r="A852" t="s">
        <v>117</v>
      </c>
      <c r="B852">
        <v>95</v>
      </c>
      <c r="C852" t="s">
        <v>871</v>
      </c>
      <c r="D852">
        <v>95.001000000000005</v>
      </c>
      <c r="E852" t="str">
        <f t="shared" si="27"/>
        <v>95001</v>
      </c>
      <c r="F852" t="s">
        <v>874</v>
      </c>
      <c r="G852" t="str">
        <f t="shared" si="26"/>
        <v>San José del Guaviare, Guaviare, 95001</v>
      </c>
    </row>
    <row r="853" spans="1:7" x14ac:dyDescent="0.25">
      <c r="A853" t="s">
        <v>62</v>
      </c>
      <c r="B853">
        <v>27</v>
      </c>
      <c r="C853" t="s">
        <v>63</v>
      </c>
      <c r="D853">
        <v>27.66</v>
      </c>
      <c r="E853" t="str">
        <f t="shared" si="27"/>
        <v>2766</v>
      </c>
      <c r="F853" t="s">
        <v>911</v>
      </c>
      <c r="G853" t="str">
        <f t="shared" si="26"/>
        <v>San José del Palmar, Chocó, 2766</v>
      </c>
    </row>
    <row r="854" spans="1:7" x14ac:dyDescent="0.25">
      <c r="A854" t="s">
        <v>5</v>
      </c>
      <c r="B854">
        <v>17</v>
      </c>
      <c r="C854" t="s">
        <v>34</v>
      </c>
      <c r="D854">
        <v>17.664999999999999</v>
      </c>
      <c r="E854" t="str">
        <f t="shared" si="27"/>
        <v>17665</v>
      </c>
      <c r="F854" t="s">
        <v>311</v>
      </c>
      <c r="G854" t="str">
        <f t="shared" si="26"/>
        <v>San José, Caldas, 17665</v>
      </c>
    </row>
    <row r="855" spans="1:7" x14ac:dyDescent="0.25">
      <c r="A855" t="s">
        <v>117</v>
      </c>
      <c r="B855">
        <v>50</v>
      </c>
      <c r="C855" t="s">
        <v>118</v>
      </c>
      <c r="D855">
        <v>50.683</v>
      </c>
      <c r="E855" t="str">
        <f t="shared" si="27"/>
        <v>50683</v>
      </c>
      <c r="F855" t="s">
        <v>908</v>
      </c>
      <c r="G855" t="str">
        <f t="shared" si="26"/>
        <v>San Juan de Arama, Meta, 50683</v>
      </c>
    </row>
    <row r="856" spans="1:7" x14ac:dyDescent="0.25">
      <c r="A856" t="s">
        <v>56</v>
      </c>
      <c r="B856">
        <v>70</v>
      </c>
      <c r="C856" t="s">
        <v>356</v>
      </c>
      <c r="D856">
        <v>70.701999999999998</v>
      </c>
      <c r="E856" t="str">
        <f t="shared" si="27"/>
        <v>70702</v>
      </c>
      <c r="F856" t="s">
        <v>896</v>
      </c>
      <c r="G856" t="str">
        <f t="shared" si="26"/>
        <v>San Juan de Betulia, Sucre, 70702</v>
      </c>
    </row>
    <row r="857" spans="1:7" x14ac:dyDescent="0.25">
      <c r="A857" t="s">
        <v>17</v>
      </c>
      <c r="B857">
        <v>25</v>
      </c>
      <c r="C857" t="s">
        <v>409</v>
      </c>
      <c r="D857">
        <v>25.661999999999999</v>
      </c>
      <c r="E857" t="str">
        <f t="shared" si="27"/>
        <v>25662</v>
      </c>
      <c r="F857" t="s">
        <v>856</v>
      </c>
      <c r="G857" t="str">
        <f t="shared" si="26"/>
        <v>San Juan de Río Seco, Cundinamarca, 25662</v>
      </c>
    </row>
    <row r="858" spans="1:7" x14ac:dyDescent="0.25">
      <c r="A858" t="s">
        <v>5</v>
      </c>
      <c r="B858">
        <v>5</v>
      </c>
      <c r="C858" t="s">
        <v>6</v>
      </c>
      <c r="D858">
        <v>5.6589999999999998</v>
      </c>
      <c r="E858" t="str">
        <f t="shared" si="27"/>
        <v>5659</v>
      </c>
      <c r="F858" t="s">
        <v>922</v>
      </c>
      <c r="G858" t="str">
        <f t="shared" si="26"/>
        <v>San Juan de Urabá, Antioquia, 5659</v>
      </c>
    </row>
    <row r="859" spans="1:7" x14ac:dyDescent="0.25">
      <c r="A859" t="s">
        <v>56</v>
      </c>
      <c r="B859">
        <v>44</v>
      </c>
      <c r="C859" t="s">
        <v>559</v>
      </c>
      <c r="D859">
        <v>44.65</v>
      </c>
      <c r="E859" t="str">
        <f t="shared" si="27"/>
        <v>4465</v>
      </c>
      <c r="F859" t="s">
        <v>923</v>
      </c>
      <c r="G859" t="str">
        <f t="shared" si="26"/>
        <v>San Juan del Cesar, La Guajira, 4465</v>
      </c>
    </row>
    <row r="860" spans="1:7" x14ac:dyDescent="0.25">
      <c r="A860" t="s">
        <v>56</v>
      </c>
      <c r="B860">
        <v>13</v>
      </c>
      <c r="C860" t="s">
        <v>154</v>
      </c>
      <c r="D860">
        <v>13.657</v>
      </c>
      <c r="E860" t="str">
        <f t="shared" si="27"/>
        <v>13657</v>
      </c>
      <c r="F860" t="s">
        <v>176</v>
      </c>
      <c r="G860" t="str">
        <f t="shared" si="26"/>
        <v>San Juan Nepomuceno, Bolívar, 13657</v>
      </c>
    </row>
    <row r="861" spans="1:7" x14ac:dyDescent="0.25">
      <c r="A861" t="s">
        <v>117</v>
      </c>
      <c r="B861">
        <v>50</v>
      </c>
      <c r="C861" t="s">
        <v>118</v>
      </c>
      <c r="D861">
        <v>50.686</v>
      </c>
      <c r="E861" t="str">
        <f t="shared" si="27"/>
        <v>50686</v>
      </c>
      <c r="F861" t="s">
        <v>610</v>
      </c>
      <c r="G861" t="str">
        <f t="shared" si="26"/>
        <v>San Juanito, Meta, 50686</v>
      </c>
    </row>
    <row r="862" spans="1:7" x14ac:dyDescent="0.25">
      <c r="A862" t="s">
        <v>62</v>
      </c>
      <c r="B862">
        <v>52</v>
      </c>
      <c r="C862" t="s">
        <v>84</v>
      </c>
      <c r="D862">
        <v>52.686999999999998</v>
      </c>
      <c r="E862" t="str">
        <f t="shared" si="27"/>
        <v>52687</v>
      </c>
      <c r="F862" t="s">
        <v>653</v>
      </c>
      <c r="G862" t="str">
        <f t="shared" si="26"/>
        <v>San Lorenzo, Nariño, 52687</v>
      </c>
    </row>
    <row r="863" spans="1:7" x14ac:dyDescent="0.25">
      <c r="A863" t="s">
        <v>17</v>
      </c>
      <c r="B863">
        <v>15</v>
      </c>
      <c r="C863" t="s">
        <v>18</v>
      </c>
      <c r="D863">
        <v>15.667</v>
      </c>
      <c r="E863" t="str">
        <f t="shared" si="27"/>
        <v>15667</v>
      </c>
      <c r="F863" t="s">
        <v>859</v>
      </c>
      <c r="G863" t="str">
        <f t="shared" si="26"/>
        <v>San Luis de Gaceno, Boyacá, 15667</v>
      </c>
    </row>
    <row r="864" spans="1:7" x14ac:dyDescent="0.25">
      <c r="A864" t="s">
        <v>117</v>
      </c>
      <c r="B864">
        <v>85</v>
      </c>
      <c r="C864" t="s">
        <v>802</v>
      </c>
      <c r="D864">
        <v>85.325000000000003</v>
      </c>
      <c r="E864" t="str">
        <f t="shared" si="27"/>
        <v>85325</v>
      </c>
      <c r="F864" t="s">
        <v>859</v>
      </c>
      <c r="G864" t="str">
        <f t="shared" si="26"/>
        <v>San Luis de Gaceno, Casanare, 85325</v>
      </c>
    </row>
    <row r="865" spans="1:7" x14ac:dyDescent="0.25">
      <c r="A865" t="s">
        <v>56</v>
      </c>
      <c r="B865">
        <v>70</v>
      </c>
      <c r="C865" t="s">
        <v>356</v>
      </c>
      <c r="D865">
        <v>70.742000000000004</v>
      </c>
      <c r="E865" t="str">
        <f t="shared" si="27"/>
        <v>70742</v>
      </c>
      <c r="F865" t="s">
        <v>893</v>
      </c>
      <c r="G865" t="str">
        <f t="shared" si="26"/>
        <v>San Luis de Sincé, Sucre, 70742</v>
      </c>
    </row>
    <row r="866" spans="1:7" x14ac:dyDescent="0.25">
      <c r="A866" t="s">
        <v>5</v>
      </c>
      <c r="B866">
        <v>5</v>
      </c>
      <c r="C866" t="s">
        <v>6</v>
      </c>
      <c r="D866">
        <v>5.66</v>
      </c>
      <c r="E866" t="str">
        <f t="shared" si="27"/>
        <v>566</v>
      </c>
      <c r="F866" t="s">
        <v>107</v>
      </c>
      <c r="G866" t="str">
        <f t="shared" si="26"/>
        <v>San Luis, Antioquia, 566</v>
      </c>
    </row>
    <row r="867" spans="1:7" x14ac:dyDescent="0.25">
      <c r="A867" t="s">
        <v>316</v>
      </c>
      <c r="B867">
        <v>73</v>
      </c>
      <c r="C867" t="s">
        <v>757</v>
      </c>
      <c r="D867">
        <v>73.677999999999997</v>
      </c>
      <c r="E867" t="str">
        <f t="shared" si="27"/>
        <v>73678</v>
      </c>
      <c r="F867" t="s">
        <v>107</v>
      </c>
      <c r="G867" t="str">
        <f t="shared" si="26"/>
        <v>San Luis, Tolima, 73678</v>
      </c>
    </row>
    <row r="868" spans="1:7" x14ac:dyDescent="0.25">
      <c r="A868" t="s">
        <v>56</v>
      </c>
      <c r="B868">
        <v>70</v>
      </c>
      <c r="C868" t="s">
        <v>356</v>
      </c>
      <c r="D868">
        <v>70.707999999999998</v>
      </c>
      <c r="E868" t="str">
        <f t="shared" si="27"/>
        <v>70708</v>
      </c>
      <c r="F868" t="s">
        <v>754</v>
      </c>
      <c r="G868" t="str">
        <f t="shared" si="26"/>
        <v>San Marcos, Sucre, 70708</v>
      </c>
    </row>
    <row r="869" spans="1:7" x14ac:dyDescent="0.25">
      <c r="A869" t="s">
        <v>56</v>
      </c>
      <c r="B869">
        <v>13</v>
      </c>
      <c r="C869" t="s">
        <v>154</v>
      </c>
      <c r="D869">
        <v>13.667</v>
      </c>
      <c r="E869" t="str">
        <f t="shared" si="27"/>
        <v>13667</v>
      </c>
      <c r="F869" t="s">
        <v>899</v>
      </c>
      <c r="G869" t="str">
        <f t="shared" si="26"/>
        <v>San Martín de Loba, Bolívar, 13667</v>
      </c>
    </row>
    <row r="870" spans="1:7" x14ac:dyDescent="0.25">
      <c r="A870" t="s">
        <v>56</v>
      </c>
      <c r="B870">
        <v>20</v>
      </c>
      <c r="C870" t="s">
        <v>362</v>
      </c>
      <c r="D870">
        <v>20.77</v>
      </c>
      <c r="E870" t="str">
        <f t="shared" si="27"/>
        <v>2077</v>
      </c>
      <c r="F870" t="s">
        <v>384</v>
      </c>
      <c r="G870" t="str">
        <f t="shared" si="26"/>
        <v>San Martín, Cesar, 2077</v>
      </c>
    </row>
    <row r="871" spans="1:7" x14ac:dyDescent="0.25">
      <c r="A871" t="s">
        <v>117</v>
      </c>
      <c r="B871">
        <v>50</v>
      </c>
      <c r="C871" t="s">
        <v>118</v>
      </c>
      <c r="D871">
        <v>50.689</v>
      </c>
      <c r="E871" t="str">
        <f t="shared" si="27"/>
        <v>50689</v>
      </c>
      <c r="F871" t="s">
        <v>384</v>
      </c>
      <c r="G871" t="str">
        <f t="shared" si="26"/>
        <v>San Martín, Meta, 50689</v>
      </c>
    </row>
    <row r="872" spans="1:7" x14ac:dyDescent="0.25">
      <c r="A872" t="s">
        <v>17</v>
      </c>
      <c r="B872">
        <v>15</v>
      </c>
      <c r="C872" t="s">
        <v>18</v>
      </c>
      <c r="D872">
        <v>15.673</v>
      </c>
      <c r="E872" t="str">
        <f t="shared" si="27"/>
        <v>15673</v>
      </c>
      <c r="F872" t="s">
        <v>258</v>
      </c>
      <c r="G872" t="str">
        <f t="shared" si="26"/>
        <v>San Mateo, Boyacá, 15673</v>
      </c>
    </row>
    <row r="873" spans="1:7" x14ac:dyDescent="0.25">
      <c r="A873" t="s">
        <v>17</v>
      </c>
      <c r="B873">
        <v>15</v>
      </c>
      <c r="C873" t="s">
        <v>18</v>
      </c>
      <c r="D873">
        <v>15.676</v>
      </c>
      <c r="E873" t="str">
        <f t="shared" si="27"/>
        <v>15676</v>
      </c>
      <c r="F873" t="s">
        <v>929</v>
      </c>
      <c r="G873" t="str">
        <f t="shared" si="26"/>
        <v>San Miguel de Sema, Boyacá, 15676</v>
      </c>
    </row>
    <row r="874" spans="1:7" x14ac:dyDescent="0.25">
      <c r="A874" t="s">
        <v>316</v>
      </c>
      <c r="B874">
        <v>86</v>
      </c>
      <c r="C874" t="s">
        <v>814</v>
      </c>
      <c r="D874">
        <v>86.757000000000005</v>
      </c>
      <c r="E874" t="str">
        <f t="shared" si="27"/>
        <v>86757</v>
      </c>
      <c r="F874" t="s">
        <v>731</v>
      </c>
      <c r="G874" t="str">
        <f t="shared" si="26"/>
        <v>San Miguel, Putumayo, 86757</v>
      </c>
    </row>
    <row r="875" spans="1:7" x14ac:dyDescent="0.25">
      <c r="A875" t="s">
        <v>17</v>
      </c>
      <c r="B875">
        <v>68</v>
      </c>
      <c r="C875" t="s">
        <v>104</v>
      </c>
      <c r="D875">
        <v>68.686000000000007</v>
      </c>
      <c r="E875" t="str">
        <f t="shared" si="27"/>
        <v>68686</v>
      </c>
      <c r="F875" t="s">
        <v>731</v>
      </c>
      <c r="G875" t="str">
        <f t="shared" si="26"/>
        <v>San Miguel, Santander, 68686</v>
      </c>
    </row>
    <row r="876" spans="1:7" x14ac:dyDescent="0.25">
      <c r="A876" t="s">
        <v>56</v>
      </c>
      <c r="B876">
        <v>70</v>
      </c>
      <c r="C876" t="s">
        <v>356</v>
      </c>
      <c r="D876">
        <v>70.712999999999994</v>
      </c>
      <c r="E876" t="str">
        <f t="shared" si="27"/>
        <v>70713</v>
      </c>
      <c r="F876" t="s">
        <v>755</v>
      </c>
      <c r="G876" t="str">
        <f t="shared" si="26"/>
        <v>San Onofre, Sucre, 70713</v>
      </c>
    </row>
    <row r="877" spans="1:7" x14ac:dyDescent="0.25">
      <c r="A877" t="s">
        <v>56</v>
      </c>
      <c r="B877">
        <v>13</v>
      </c>
      <c r="C877" t="s">
        <v>154</v>
      </c>
      <c r="D877">
        <v>13.67</v>
      </c>
      <c r="E877" t="str">
        <f t="shared" si="27"/>
        <v>1367</v>
      </c>
      <c r="F877" t="s">
        <v>890</v>
      </c>
      <c r="G877" t="str">
        <f t="shared" si="26"/>
        <v>San Pablo de Borbur, Bolívar, 1367</v>
      </c>
    </row>
    <row r="878" spans="1:7" x14ac:dyDescent="0.25">
      <c r="A878" t="s">
        <v>17</v>
      </c>
      <c r="B878">
        <v>15</v>
      </c>
      <c r="C878" t="s">
        <v>18</v>
      </c>
      <c r="D878">
        <v>15.680999999999999</v>
      </c>
      <c r="E878" t="str">
        <f t="shared" si="27"/>
        <v>15681</v>
      </c>
      <c r="F878" t="s">
        <v>890</v>
      </c>
      <c r="G878" t="str">
        <f t="shared" si="26"/>
        <v>San Pablo de Borbur, Boyacá, 15681</v>
      </c>
    </row>
    <row r="879" spans="1:7" x14ac:dyDescent="0.25">
      <c r="A879" t="s">
        <v>62</v>
      </c>
      <c r="B879">
        <v>52</v>
      </c>
      <c r="C879" t="s">
        <v>84</v>
      </c>
      <c r="D879">
        <v>52.692999999999998</v>
      </c>
      <c r="E879" t="str">
        <f t="shared" si="27"/>
        <v>52693</v>
      </c>
      <c r="F879" t="s">
        <v>654</v>
      </c>
      <c r="G879" t="str">
        <f t="shared" si="26"/>
        <v>San Pablo, Nariño, 52693</v>
      </c>
    </row>
    <row r="880" spans="1:7" x14ac:dyDescent="0.25">
      <c r="A880" t="s">
        <v>62</v>
      </c>
      <c r="B880">
        <v>52</v>
      </c>
      <c r="C880" t="s">
        <v>84</v>
      </c>
      <c r="D880">
        <v>52.694000000000003</v>
      </c>
      <c r="E880" t="str">
        <f t="shared" si="27"/>
        <v>52694</v>
      </c>
      <c r="F880" t="s">
        <v>906</v>
      </c>
      <c r="G880" t="str">
        <f t="shared" si="26"/>
        <v>San Pedro de Cartago, Nariño, 52694</v>
      </c>
    </row>
    <row r="881" spans="1:7" x14ac:dyDescent="0.25">
      <c r="A881" t="s">
        <v>5</v>
      </c>
      <c r="B881">
        <v>5</v>
      </c>
      <c r="C881" t="s">
        <v>6</v>
      </c>
      <c r="D881">
        <v>5.665</v>
      </c>
      <c r="E881" t="str">
        <f t="shared" si="27"/>
        <v>5665</v>
      </c>
      <c r="F881" t="s">
        <v>873</v>
      </c>
      <c r="G881" t="str">
        <f t="shared" si="26"/>
        <v>San Pedro de Uraba, Antioquia, 5665</v>
      </c>
    </row>
    <row r="882" spans="1:7" x14ac:dyDescent="0.25">
      <c r="A882" t="s">
        <v>5</v>
      </c>
      <c r="B882">
        <v>5</v>
      </c>
      <c r="C882" t="s">
        <v>6</v>
      </c>
      <c r="D882">
        <v>5.6639999999999997</v>
      </c>
      <c r="E882" t="str">
        <f t="shared" si="27"/>
        <v>5664</v>
      </c>
      <c r="F882" t="s">
        <v>108</v>
      </c>
      <c r="G882" t="str">
        <f t="shared" si="26"/>
        <v>San Pedro, Antioquia, 5664</v>
      </c>
    </row>
    <row r="883" spans="1:7" x14ac:dyDescent="0.25">
      <c r="A883" t="s">
        <v>56</v>
      </c>
      <c r="B883">
        <v>70</v>
      </c>
      <c r="C883" t="s">
        <v>356</v>
      </c>
      <c r="D883">
        <v>70.716999999999999</v>
      </c>
      <c r="E883" t="str">
        <f t="shared" si="27"/>
        <v>70717</v>
      </c>
      <c r="F883" t="s">
        <v>108</v>
      </c>
      <c r="G883" t="str">
        <f t="shared" si="26"/>
        <v>San Pedro, Sucre, 70717</v>
      </c>
    </row>
    <row r="884" spans="1:7" x14ac:dyDescent="0.25">
      <c r="A884" t="s">
        <v>62</v>
      </c>
      <c r="B884">
        <v>76</v>
      </c>
      <c r="C884" t="s">
        <v>942</v>
      </c>
      <c r="D884">
        <v>76.67</v>
      </c>
      <c r="E884" t="str">
        <f t="shared" si="27"/>
        <v>7667</v>
      </c>
      <c r="F884" t="s">
        <v>108</v>
      </c>
      <c r="G884" t="str">
        <f t="shared" si="26"/>
        <v>San Pedro, Valle del Cauca, 7667</v>
      </c>
    </row>
    <row r="885" spans="1:7" x14ac:dyDescent="0.25">
      <c r="A885" t="s">
        <v>56</v>
      </c>
      <c r="B885">
        <v>23</v>
      </c>
      <c r="C885" t="s">
        <v>57</v>
      </c>
      <c r="D885">
        <v>23.686</v>
      </c>
      <c r="E885" t="str">
        <f t="shared" si="27"/>
        <v>23686</v>
      </c>
      <c r="F885" t="s">
        <v>405</v>
      </c>
      <c r="G885" t="str">
        <f t="shared" si="26"/>
        <v>San Pelayo, Córdoba, 23686</v>
      </c>
    </row>
    <row r="886" spans="1:7" x14ac:dyDescent="0.25">
      <c r="A886" t="s">
        <v>5</v>
      </c>
      <c r="B886">
        <v>5</v>
      </c>
      <c r="C886" t="s">
        <v>6</v>
      </c>
      <c r="D886">
        <v>5.6669999999999998</v>
      </c>
      <c r="E886" t="str">
        <f t="shared" si="27"/>
        <v>5667</v>
      </c>
      <c r="F886" t="s">
        <v>109</v>
      </c>
      <c r="G886" t="str">
        <f t="shared" si="26"/>
        <v>San Rafael, Antioquia, 5667</v>
      </c>
    </row>
    <row r="887" spans="1:7" x14ac:dyDescent="0.25">
      <c r="A887" t="s">
        <v>5</v>
      </c>
      <c r="B887">
        <v>5</v>
      </c>
      <c r="C887" t="s">
        <v>6</v>
      </c>
      <c r="D887">
        <v>5.67</v>
      </c>
      <c r="E887" t="str">
        <f t="shared" si="27"/>
        <v>567</v>
      </c>
      <c r="F887" t="s">
        <v>110</v>
      </c>
      <c r="G887" t="str">
        <f t="shared" si="26"/>
        <v>San Roque, Antioquia, 567</v>
      </c>
    </row>
    <row r="888" spans="1:7" x14ac:dyDescent="0.25">
      <c r="A888" t="s">
        <v>56</v>
      </c>
      <c r="B888">
        <v>47</v>
      </c>
      <c r="C888" t="s">
        <v>570</v>
      </c>
      <c r="D888">
        <v>47.692</v>
      </c>
      <c r="E888" t="str">
        <f t="shared" si="27"/>
        <v>47692</v>
      </c>
      <c r="F888" t="s">
        <v>867</v>
      </c>
      <c r="G888" t="str">
        <f t="shared" si="26"/>
        <v>San Sebastián de Buenavista, Magdalena, 47692</v>
      </c>
    </row>
    <row r="889" spans="1:7" x14ac:dyDescent="0.25">
      <c r="A889" t="s">
        <v>62</v>
      </c>
      <c r="B889">
        <v>19</v>
      </c>
      <c r="C889" t="s">
        <v>327</v>
      </c>
      <c r="D889">
        <v>19.693000000000001</v>
      </c>
      <c r="E889" t="str">
        <f t="shared" si="27"/>
        <v>19693</v>
      </c>
      <c r="F889" t="s">
        <v>937</v>
      </c>
      <c r="G889" t="str">
        <f t="shared" si="26"/>
        <v>San Sebastián, Cauca, 19693</v>
      </c>
    </row>
    <row r="890" spans="1:7" x14ac:dyDescent="0.25">
      <c r="A890" t="s">
        <v>17</v>
      </c>
      <c r="B890">
        <v>68</v>
      </c>
      <c r="C890" t="s">
        <v>104</v>
      </c>
      <c r="D890">
        <v>68.688999999999993</v>
      </c>
      <c r="E890" t="str">
        <f t="shared" si="27"/>
        <v>68689</v>
      </c>
      <c r="F890" t="s">
        <v>883</v>
      </c>
      <c r="G890" t="str">
        <f t="shared" si="26"/>
        <v>San Vicente de Chucurí, Santander, 68689</v>
      </c>
    </row>
    <row r="891" spans="1:7" x14ac:dyDescent="0.25">
      <c r="A891" t="s">
        <v>316</v>
      </c>
      <c r="B891">
        <v>18</v>
      </c>
      <c r="C891" t="s">
        <v>317</v>
      </c>
      <c r="D891">
        <v>18.753</v>
      </c>
      <c r="E891" t="str">
        <f t="shared" si="27"/>
        <v>18753</v>
      </c>
      <c r="F891" t="s">
        <v>1040</v>
      </c>
      <c r="G891" t="str">
        <f t="shared" si="26"/>
        <v>San Vicente del Caguán, Caquetá, 18753</v>
      </c>
    </row>
    <row r="892" spans="1:7" x14ac:dyDescent="0.25">
      <c r="A892" t="s">
        <v>5</v>
      </c>
      <c r="B892">
        <v>5</v>
      </c>
      <c r="C892" t="s">
        <v>6</v>
      </c>
      <c r="D892">
        <v>5.6740000000000004</v>
      </c>
      <c r="E892" t="str">
        <f t="shared" si="27"/>
        <v>5674</v>
      </c>
      <c r="F892" t="s">
        <v>111</v>
      </c>
      <c r="G892" t="str">
        <f t="shared" si="26"/>
        <v>San Vicente, Antioquia, 5674</v>
      </c>
    </row>
    <row r="893" spans="1:7" x14ac:dyDescent="0.25">
      <c r="A893" t="s">
        <v>56</v>
      </c>
      <c r="B893">
        <v>47</v>
      </c>
      <c r="C893" t="s">
        <v>570</v>
      </c>
      <c r="D893">
        <v>47.703000000000003</v>
      </c>
      <c r="E893" t="str">
        <f t="shared" si="27"/>
        <v>47703</v>
      </c>
      <c r="F893" t="s">
        <v>587</v>
      </c>
      <c r="G893" t="str">
        <f t="shared" si="26"/>
        <v>San Zenón, Magdalena, 47703</v>
      </c>
    </row>
    <row r="894" spans="1:7" x14ac:dyDescent="0.25">
      <c r="A894" t="s">
        <v>62</v>
      </c>
      <c r="B894">
        <v>52</v>
      </c>
      <c r="C894" t="s">
        <v>84</v>
      </c>
      <c r="D894">
        <v>52.683</v>
      </c>
      <c r="E894" t="str">
        <f t="shared" si="27"/>
        <v>52683</v>
      </c>
      <c r="F894" t="s">
        <v>652</v>
      </c>
      <c r="G894" t="str">
        <f t="shared" si="26"/>
        <v>Sandoná, Nariño, 52683</v>
      </c>
    </row>
    <row r="895" spans="1:7" x14ac:dyDescent="0.25">
      <c r="A895" t="s">
        <v>56</v>
      </c>
      <c r="B895">
        <v>47</v>
      </c>
      <c r="C895" t="s">
        <v>570</v>
      </c>
      <c r="D895">
        <v>47.707000000000001</v>
      </c>
      <c r="E895" t="str">
        <f t="shared" si="27"/>
        <v>47707</v>
      </c>
      <c r="F895" t="s">
        <v>588</v>
      </c>
      <c r="G895" t="str">
        <f t="shared" si="26"/>
        <v>Santa Ana, Magdalena, 47707</v>
      </c>
    </row>
    <row r="896" spans="1:7" x14ac:dyDescent="0.25">
      <c r="A896" t="s">
        <v>56</v>
      </c>
      <c r="B896">
        <v>47</v>
      </c>
      <c r="C896" t="s">
        <v>570</v>
      </c>
      <c r="D896">
        <v>47.72</v>
      </c>
      <c r="E896" t="str">
        <f t="shared" si="27"/>
        <v>4772</v>
      </c>
      <c r="F896" t="s">
        <v>1037</v>
      </c>
      <c r="G896" t="str">
        <f t="shared" si="26"/>
        <v>Santa Bárbara de Pinto, Magdalena, 4772</v>
      </c>
    </row>
    <row r="897" spans="1:7" x14ac:dyDescent="0.25">
      <c r="A897" t="s">
        <v>5</v>
      </c>
      <c r="B897">
        <v>5</v>
      </c>
      <c r="C897" t="s">
        <v>6</v>
      </c>
      <c r="D897">
        <v>5.6790000000000003</v>
      </c>
      <c r="E897" t="str">
        <f t="shared" si="27"/>
        <v>5679</v>
      </c>
      <c r="F897" t="s">
        <v>112</v>
      </c>
      <c r="G897" t="str">
        <f t="shared" si="26"/>
        <v>Santa Bárbara, Antioquia, 5679</v>
      </c>
    </row>
    <row r="898" spans="1:7" x14ac:dyDescent="0.25">
      <c r="A898" t="s">
        <v>62</v>
      </c>
      <c r="B898">
        <v>52</v>
      </c>
      <c r="C898" t="s">
        <v>84</v>
      </c>
      <c r="D898">
        <v>52.695999999999998</v>
      </c>
      <c r="E898" t="str">
        <f t="shared" si="27"/>
        <v>52696</v>
      </c>
      <c r="F898" t="s">
        <v>112</v>
      </c>
      <c r="G898" t="str">
        <f t="shared" ref="G898:G961" si="28">_xlfn.CONCAT(F898,", ",C898,", ",E898)</f>
        <v>Santa Bárbara, Nariño, 52696</v>
      </c>
    </row>
    <row r="899" spans="1:7" x14ac:dyDescent="0.25">
      <c r="A899" t="s">
        <v>17</v>
      </c>
      <c r="B899">
        <v>68</v>
      </c>
      <c r="C899" t="s">
        <v>104</v>
      </c>
      <c r="D899">
        <v>68.704999999999998</v>
      </c>
      <c r="E899" t="str">
        <f t="shared" ref="E899:E962" si="29">SUBSTITUTE(D899, ".", "",1)</f>
        <v>68705</v>
      </c>
      <c r="F899" t="s">
        <v>112</v>
      </c>
      <c r="G899" t="str">
        <f t="shared" si="28"/>
        <v>Santa Bárbara, Santander, 68705</v>
      </c>
    </row>
    <row r="900" spans="1:7" x14ac:dyDescent="0.25">
      <c r="A900" t="s">
        <v>56</v>
      </c>
      <c r="B900">
        <v>13</v>
      </c>
      <c r="C900" t="s">
        <v>154</v>
      </c>
      <c r="D900">
        <v>13.673</v>
      </c>
      <c r="E900" t="str">
        <f t="shared" si="29"/>
        <v>13673</v>
      </c>
      <c r="F900" t="s">
        <v>177</v>
      </c>
      <c r="G900" t="str">
        <f t="shared" si="28"/>
        <v>Santa Catalina, Bolívar, 13673</v>
      </c>
    </row>
    <row r="901" spans="1:7" x14ac:dyDescent="0.25">
      <c r="A901" t="s">
        <v>17</v>
      </c>
      <c r="B901">
        <v>68</v>
      </c>
      <c r="C901" t="s">
        <v>104</v>
      </c>
      <c r="D901">
        <v>68.72</v>
      </c>
      <c r="E901" t="str">
        <f t="shared" si="29"/>
        <v>6872</v>
      </c>
      <c r="F901" t="s">
        <v>889</v>
      </c>
      <c r="G901" t="str">
        <f t="shared" si="28"/>
        <v>Santa Helena del Opón, Santander, 6872</v>
      </c>
    </row>
    <row r="902" spans="1:7" x14ac:dyDescent="0.25">
      <c r="A902" t="s">
        <v>316</v>
      </c>
      <c r="B902">
        <v>73</v>
      </c>
      <c r="C902" t="s">
        <v>757</v>
      </c>
      <c r="D902">
        <v>73.686000000000007</v>
      </c>
      <c r="E902" t="str">
        <f t="shared" si="29"/>
        <v>73686</v>
      </c>
      <c r="F902" t="s">
        <v>791</v>
      </c>
      <c r="G902" t="str">
        <f t="shared" si="28"/>
        <v>Santa Isabel, Tolima, 73686</v>
      </c>
    </row>
    <row r="903" spans="1:7" x14ac:dyDescent="0.25">
      <c r="A903" t="s">
        <v>56</v>
      </c>
      <c r="B903">
        <v>8</v>
      </c>
      <c r="C903" t="s">
        <v>137</v>
      </c>
      <c r="D903">
        <v>8.6750000000000007</v>
      </c>
      <c r="E903" t="str">
        <f t="shared" si="29"/>
        <v>8675</v>
      </c>
      <c r="F903" t="s">
        <v>148</v>
      </c>
      <c r="G903" t="str">
        <f t="shared" si="28"/>
        <v>Santa Lucía, Atlántico, 8675</v>
      </c>
    </row>
    <row r="904" spans="1:7" x14ac:dyDescent="0.25">
      <c r="A904" t="s">
        <v>17</v>
      </c>
      <c r="B904">
        <v>15</v>
      </c>
      <c r="C904" t="s">
        <v>18</v>
      </c>
      <c r="D904">
        <v>15.69</v>
      </c>
      <c r="E904" t="str">
        <f t="shared" si="29"/>
        <v>1569</v>
      </c>
      <c r="F904" t="s">
        <v>260</v>
      </c>
      <c r="G904" t="str">
        <f t="shared" si="28"/>
        <v>Santa María, Boyacá, 1569</v>
      </c>
    </row>
    <row r="905" spans="1:7" x14ac:dyDescent="0.25">
      <c r="A905" t="s">
        <v>316</v>
      </c>
      <c r="B905">
        <v>41</v>
      </c>
      <c r="C905" t="s">
        <v>525</v>
      </c>
      <c r="D905">
        <v>41.676000000000002</v>
      </c>
      <c r="E905" t="str">
        <f t="shared" si="29"/>
        <v>41676</v>
      </c>
      <c r="F905" t="s">
        <v>260</v>
      </c>
      <c r="G905" t="str">
        <f t="shared" si="28"/>
        <v>Santa María, Huila, 41676</v>
      </c>
    </row>
    <row r="906" spans="1:7" x14ac:dyDescent="0.25">
      <c r="A906" t="s">
        <v>56</v>
      </c>
      <c r="B906">
        <v>47</v>
      </c>
      <c r="C906" t="s">
        <v>570</v>
      </c>
      <c r="D906">
        <v>47.000999999999998</v>
      </c>
      <c r="E906" t="str">
        <f t="shared" si="29"/>
        <v>47001</v>
      </c>
      <c r="F906" t="s">
        <v>571</v>
      </c>
      <c r="G906" t="str">
        <f t="shared" si="28"/>
        <v>Santa Marta, Magdalena, 47001</v>
      </c>
    </row>
    <row r="907" spans="1:7" x14ac:dyDescent="0.25">
      <c r="A907" t="s">
        <v>5</v>
      </c>
      <c r="B907">
        <v>66</v>
      </c>
      <c r="C907" t="s">
        <v>308</v>
      </c>
      <c r="D907">
        <v>66.682000000000002</v>
      </c>
      <c r="E907" t="str">
        <f t="shared" si="29"/>
        <v>66682</v>
      </c>
      <c r="F907" t="s">
        <v>885</v>
      </c>
      <c r="G907" t="str">
        <f t="shared" si="28"/>
        <v>Santa Rosa de Cabal, Risaralda, 66682</v>
      </c>
    </row>
    <row r="908" spans="1:7" x14ac:dyDescent="0.25">
      <c r="A908" t="s">
        <v>5</v>
      </c>
      <c r="B908">
        <v>5</v>
      </c>
      <c r="C908" t="s">
        <v>6</v>
      </c>
      <c r="D908">
        <v>5.6859999999999999</v>
      </c>
      <c r="E908" t="str">
        <f t="shared" si="29"/>
        <v>5686</v>
      </c>
      <c r="F908" t="s">
        <v>880</v>
      </c>
      <c r="G908" t="str">
        <f t="shared" si="28"/>
        <v>Santa Rosa de Osos, Antioquia, 5686</v>
      </c>
    </row>
    <row r="909" spans="1:7" x14ac:dyDescent="0.25">
      <c r="A909" t="s">
        <v>17</v>
      </c>
      <c r="B909">
        <v>15</v>
      </c>
      <c r="C909" t="s">
        <v>18</v>
      </c>
      <c r="D909">
        <v>15.693</v>
      </c>
      <c r="E909" t="str">
        <f t="shared" si="29"/>
        <v>15693</v>
      </c>
      <c r="F909" t="s">
        <v>875</v>
      </c>
      <c r="G909" t="str">
        <f t="shared" si="28"/>
        <v>Santa Rosa de Viterbo, Boyacá, 15693</v>
      </c>
    </row>
    <row r="910" spans="1:7" x14ac:dyDescent="0.25">
      <c r="A910" t="s">
        <v>56</v>
      </c>
      <c r="B910">
        <v>13</v>
      </c>
      <c r="C910" t="s">
        <v>154</v>
      </c>
      <c r="D910">
        <v>13.688000000000001</v>
      </c>
      <c r="E910" t="str">
        <f t="shared" si="29"/>
        <v>13688</v>
      </c>
      <c r="F910" t="s">
        <v>864</v>
      </c>
      <c r="G910" t="str">
        <f t="shared" si="28"/>
        <v>Santa Rosa del Sur, Bolívar, 13688</v>
      </c>
    </row>
    <row r="911" spans="1:7" x14ac:dyDescent="0.25">
      <c r="A911" t="s">
        <v>56</v>
      </c>
      <c r="B911">
        <v>13</v>
      </c>
      <c r="C911" t="s">
        <v>154</v>
      </c>
      <c r="D911">
        <v>13.683</v>
      </c>
      <c r="E911" t="str">
        <f t="shared" si="29"/>
        <v>13683</v>
      </c>
      <c r="F911" t="s">
        <v>178</v>
      </c>
      <c r="G911" t="str">
        <f t="shared" si="28"/>
        <v>Santa Rosa, Bolívar, 13683</v>
      </c>
    </row>
    <row r="912" spans="1:7" x14ac:dyDescent="0.25">
      <c r="A912" t="s">
        <v>62</v>
      </c>
      <c r="B912">
        <v>19</v>
      </c>
      <c r="C912" t="s">
        <v>327</v>
      </c>
      <c r="D912">
        <v>19.701000000000001</v>
      </c>
      <c r="E912" t="str">
        <f t="shared" si="29"/>
        <v>19701</v>
      </c>
      <c r="F912" t="s">
        <v>178</v>
      </c>
      <c r="G912" t="str">
        <f t="shared" si="28"/>
        <v>Santa Rosa, Cauca, 19701</v>
      </c>
    </row>
    <row r="913" spans="1:7" x14ac:dyDescent="0.25">
      <c r="A913" t="s">
        <v>117</v>
      </c>
      <c r="B913">
        <v>99</v>
      </c>
      <c r="C913" t="s">
        <v>848</v>
      </c>
      <c r="D913">
        <v>99.623999999999995</v>
      </c>
      <c r="E913" t="str">
        <f t="shared" si="29"/>
        <v>99624</v>
      </c>
      <c r="F913" t="s">
        <v>851</v>
      </c>
      <c r="G913" t="str">
        <f t="shared" si="28"/>
        <v>Santa Rosalía, Vichada, 99624</v>
      </c>
    </row>
    <row r="914" spans="1:7" x14ac:dyDescent="0.25">
      <c r="A914" t="s">
        <v>17</v>
      </c>
      <c r="B914">
        <v>15</v>
      </c>
      <c r="C914" t="s">
        <v>18</v>
      </c>
      <c r="D914">
        <v>15.696</v>
      </c>
      <c r="E914" t="str">
        <f t="shared" si="29"/>
        <v>15696</v>
      </c>
      <c r="F914" t="s">
        <v>261</v>
      </c>
      <c r="G914" t="str">
        <f t="shared" si="28"/>
        <v>Santa Sofía, Boyacá, 15696</v>
      </c>
    </row>
    <row r="915" spans="1:7" x14ac:dyDescent="0.25">
      <c r="A915" t="s">
        <v>62</v>
      </c>
      <c r="B915">
        <v>52</v>
      </c>
      <c r="C915" t="s">
        <v>84</v>
      </c>
      <c r="D915">
        <v>52.698999999999998</v>
      </c>
      <c r="E915" t="str">
        <f t="shared" si="29"/>
        <v>52699</v>
      </c>
      <c r="F915" t="s">
        <v>101</v>
      </c>
      <c r="G915" t="str">
        <f t="shared" si="28"/>
        <v>Santacruz, Nariño, 52699</v>
      </c>
    </row>
    <row r="916" spans="1:7" x14ac:dyDescent="0.25">
      <c r="A916" t="s">
        <v>5</v>
      </c>
      <c r="B916">
        <v>5</v>
      </c>
      <c r="C916" t="s">
        <v>6</v>
      </c>
      <c r="D916">
        <v>5.0419999999999998</v>
      </c>
      <c r="E916" t="str">
        <f t="shared" si="29"/>
        <v>5042</v>
      </c>
      <c r="F916" t="s">
        <v>877</v>
      </c>
      <c r="G916" t="str">
        <f t="shared" si="28"/>
        <v>Santafé de Antioquia, Antioquia, 5042</v>
      </c>
    </row>
    <row r="917" spans="1:7" x14ac:dyDescent="0.25">
      <c r="A917" t="s">
        <v>17</v>
      </c>
      <c r="B917">
        <v>15</v>
      </c>
      <c r="C917" t="s">
        <v>18</v>
      </c>
      <c r="D917">
        <v>15.686</v>
      </c>
      <c r="E917" t="str">
        <f t="shared" si="29"/>
        <v>15686</v>
      </c>
      <c r="F917" t="s">
        <v>259</v>
      </c>
      <c r="G917" t="str">
        <f t="shared" si="28"/>
        <v>Santana, Boyacá, 15686</v>
      </c>
    </row>
    <row r="918" spans="1:7" x14ac:dyDescent="0.25">
      <c r="A918" t="s">
        <v>62</v>
      </c>
      <c r="B918">
        <v>19</v>
      </c>
      <c r="C918" t="s">
        <v>327</v>
      </c>
      <c r="D918">
        <v>19.698</v>
      </c>
      <c r="E918" t="str">
        <f t="shared" si="29"/>
        <v>19698</v>
      </c>
      <c r="F918" t="s">
        <v>876</v>
      </c>
      <c r="G918" t="str">
        <f t="shared" si="28"/>
        <v>Santander de Quilichao, Cauca, 19698</v>
      </c>
    </row>
    <row r="919" spans="1:7" x14ac:dyDescent="0.25">
      <c r="A919" t="s">
        <v>56</v>
      </c>
      <c r="B919">
        <v>70</v>
      </c>
      <c r="C919" t="s">
        <v>356</v>
      </c>
      <c r="D919">
        <v>70.819999999999993</v>
      </c>
      <c r="E919" t="str">
        <f t="shared" si="29"/>
        <v>7082</v>
      </c>
      <c r="F919" t="s">
        <v>918</v>
      </c>
      <c r="G919" t="str">
        <f t="shared" si="28"/>
        <v>Santiago de Tolú, Sucre, 7082</v>
      </c>
    </row>
    <row r="920" spans="1:7" x14ac:dyDescent="0.25">
      <c r="A920" t="s">
        <v>17</v>
      </c>
      <c r="B920">
        <v>54</v>
      </c>
      <c r="C920" t="s">
        <v>939</v>
      </c>
      <c r="D920">
        <v>54.68</v>
      </c>
      <c r="E920" t="str">
        <f t="shared" si="29"/>
        <v>5468</v>
      </c>
      <c r="F920" t="s">
        <v>821</v>
      </c>
      <c r="G920" t="str">
        <f t="shared" si="28"/>
        <v>Santiago, Norte de Santander, 5468</v>
      </c>
    </row>
    <row r="921" spans="1:7" x14ac:dyDescent="0.25">
      <c r="A921" t="s">
        <v>316</v>
      </c>
      <c r="B921">
        <v>86</v>
      </c>
      <c r="C921" t="s">
        <v>814</v>
      </c>
      <c r="D921">
        <v>86.76</v>
      </c>
      <c r="E921" t="str">
        <f t="shared" si="29"/>
        <v>8676</v>
      </c>
      <c r="F921" t="s">
        <v>821</v>
      </c>
      <c r="G921" t="str">
        <f t="shared" si="28"/>
        <v>Santiago, Putumayo, 8676</v>
      </c>
    </row>
    <row r="922" spans="1:7" x14ac:dyDescent="0.25">
      <c r="A922" t="s">
        <v>5</v>
      </c>
      <c r="B922">
        <v>5</v>
      </c>
      <c r="C922" t="s">
        <v>6</v>
      </c>
      <c r="D922">
        <v>5.69</v>
      </c>
      <c r="E922" t="str">
        <f t="shared" si="29"/>
        <v>569</v>
      </c>
      <c r="F922" t="s">
        <v>113</v>
      </c>
      <c r="G922" t="str">
        <f t="shared" si="28"/>
        <v>Santo Domingo, Antioquia, 569</v>
      </c>
    </row>
    <row r="923" spans="1:7" x14ac:dyDescent="0.25">
      <c r="A923" t="s">
        <v>56</v>
      </c>
      <c r="B923">
        <v>8</v>
      </c>
      <c r="C923" t="s">
        <v>137</v>
      </c>
      <c r="D923">
        <v>8.6850000000000005</v>
      </c>
      <c r="E923" t="str">
        <f t="shared" si="29"/>
        <v>8685</v>
      </c>
      <c r="F923" t="s">
        <v>149</v>
      </c>
      <c r="G923" t="str">
        <f t="shared" si="28"/>
        <v>Santo Tomás, Atlántico, 8685</v>
      </c>
    </row>
    <row r="924" spans="1:7" x14ac:dyDescent="0.25">
      <c r="A924" t="s">
        <v>5</v>
      </c>
      <c r="B924">
        <v>66</v>
      </c>
      <c r="C924" t="s">
        <v>308</v>
      </c>
      <c r="D924">
        <v>66.686999999999998</v>
      </c>
      <c r="E924" t="str">
        <f t="shared" si="29"/>
        <v>66687</v>
      </c>
      <c r="F924" t="s">
        <v>678</v>
      </c>
      <c r="G924" t="str">
        <f t="shared" si="28"/>
        <v>Santuario, Risaralda, 66687</v>
      </c>
    </row>
    <row r="925" spans="1:7" x14ac:dyDescent="0.25">
      <c r="A925" t="s">
        <v>62</v>
      </c>
      <c r="B925">
        <v>52</v>
      </c>
      <c r="C925" t="s">
        <v>84</v>
      </c>
      <c r="D925">
        <v>52.72</v>
      </c>
      <c r="E925" t="str">
        <f t="shared" si="29"/>
        <v>5272</v>
      </c>
      <c r="F925" t="s">
        <v>655</v>
      </c>
      <c r="G925" t="str">
        <f t="shared" si="28"/>
        <v>Sapuyes, Nariño, 5272</v>
      </c>
    </row>
    <row r="926" spans="1:7" x14ac:dyDescent="0.25">
      <c r="A926" t="s">
        <v>117</v>
      </c>
      <c r="B926">
        <v>81</v>
      </c>
      <c r="C926" t="s">
        <v>795</v>
      </c>
      <c r="D926">
        <v>81.736000000000004</v>
      </c>
      <c r="E926" t="str">
        <f t="shared" si="29"/>
        <v>81736</v>
      </c>
      <c r="F926" t="s">
        <v>800</v>
      </c>
      <c r="G926" t="str">
        <f t="shared" si="28"/>
        <v>Saravena, Arauca, 81736</v>
      </c>
    </row>
    <row r="927" spans="1:7" x14ac:dyDescent="0.25">
      <c r="A927" t="s">
        <v>17</v>
      </c>
      <c r="B927">
        <v>54</v>
      </c>
      <c r="C927" t="s">
        <v>939</v>
      </c>
      <c r="D927">
        <v>54.72</v>
      </c>
      <c r="E927" t="str">
        <f t="shared" si="29"/>
        <v>5472</v>
      </c>
      <c r="F927" t="s">
        <v>982</v>
      </c>
      <c r="G927" t="str">
        <f t="shared" si="28"/>
        <v>Sardinata, Norte de Santander, 5472</v>
      </c>
    </row>
    <row r="928" spans="1:7" x14ac:dyDescent="0.25">
      <c r="A928" t="s">
        <v>17</v>
      </c>
      <c r="B928">
        <v>25</v>
      </c>
      <c r="C928" t="s">
        <v>409</v>
      </c>
      <c r="D928">
        <v>25.718</v>
      </c>
      <c r="E928" t="str">
        <f t="shared" si="29"/>
        <v>25718</v>
      </c>
      <c r="F928" t="s">
        <v>1033</v>
      </c>
      <c r="G928" t="str">
        <f t="shared" si="28"/>
        <v>Sasaima, Cundinamarca, 25718</v>
      </c>
    </row>
    <row r="929" spans="1:7" x14ac:dyDescent="0.25">
      <c r="A929" t="s">
        <v>17</v>
      </c>
      <c r="B929">
        <v>15</v>
      </c>
      <c r="C929" t="s">
        <v>18</v>
      </c>
      <c r="D929">
        <v>15.72</v>
      </c>
      <c r="E929" t="str">
        <f t="shared" si="29"/>
        <v>1572</v>
      </c>
      <c r="F929" t="s">
        <v>262</v>
      </c>
      <c r="G929" t="str">
        <f t="shared" si="28"/>
        <v>Sativanorte, Boyacá, 1572</v>
      </c>
    </row>
    <row r="930" spans="1:7" x14ac:dyDescent="0.25">
      <c r="A930" t="s">
        <v>17</v>
      </c>
      <c r="B930">
        <v>15</v>
      </c>
      <c r="C930" t="s">
        <v>18</v>
      </c>
      <c r="D930">
        <v>15.723000000000001</v>
      </c>
      <c r="E930" t="str">
        <f t="shared" si="29"/>
        <v>15723</v>
      </c>
      <c r="F930" t="s">
        <v>263</v>
      </c>
      <c r="G930" t="str">
        <f t="shared" si="28"/>
        <v>Sativasur, Boyacá, 15723</v>
      </c>
    </row>
    <row r="931" spans="1:7" x14ac:dyDescent="0.25">
      <c r="A931" t="s">
        <v>5</v>
      </c>
      <c r="B931">
        <v>5</v>
      </c>
      <c r="C931" t="s">
        <v>6</v>
      </c>
      <c r="D931">
        <v>5.7359999999999998</v>
      </c>
      <c r="E931" t="str">
        <f t="shared" si="29"/>
        <v>5736</v>
      </c>
      <c r="F931" t="s">
        <v>115</v>
      </c>
      <c r="G931" t="str">
        <f t="shared" si="28"/>
        <v>Segovia, Antioquia, 5736</v>
      </c>
    </row>
    <row r="932" spans="1:7" x14ac:dyDescent="0.25">
      <c r="A932" t="s">
        <v>17</v>
      </c>
      <c r="B932">
        <v>25</v>
      </c>
      <c r="C932" t="s">
        <v>409</v>
      </c>
      <c r="D932">
        <v>25.736000000000001</v>
      </c>
      <c r="E932" t="str">
        <f t="shared" si="29"/>
        <v>25736</v>
      </c>
      <c r="F932" t="s">
        <v>475</v>
      </c>
      <c r="G932" t="str">
        <f t="shared" si="28"/>
        <v>Sesquilé, Cundinamarca, 25736</v>
      </c>
    </row>
    <row r="933" spans="1:7" x14ac:dyDescent="0.25">
      <c r="A933" t="s">
        <v>62</v>
      </c>
      <c r="B933">
        <v>76</v>
      </c>
      <c r="C933" t="s">
        <v>942</v>
      </c>
      <c r="D933">
        <v>76.736000000000004</v>
      </c>
      <c r="E933" t="str">
        <f t="shared" si="29"/>
        <v>76736</v>
      </c>
      <c r="F933" t="s">
        <v>948</v>
      </c>
      <c r="G933" t="str">
        <f t="shared" si="28"/>
        <v>Sevilla, Valle del Cauca, 76736</v>
      </c>
    </row>
    <row r="934" spans="1:7" x14ac:dyDescent="0.25">
      <c r="A934" t="s">
        <v>17</v>
      </c>
      <c r="B934">
        <v>15</v>
      </c>
      <c r="C934" t="s">
        <v>18</v>
      </c>
      <c r="D934">
        <v>15.74</v>
      </c>
      <c r="E934" t="str">
        <f t="shared" si="29"/>
        <v>1574</v>
      </c>
      <c r="F934" t="s">
        <v>264</v>
      </c>
      <c r="G934" t="str">
        <f t="shared" si="28"/>
        <v>Siachoque, Boyacá, 1574</v>
      </c>
    </row>
    <row r="935" spans="1:7" x14ac:dyDescent="0.25">
      <c r="A935" t="s">
        <v>17</v>
      </c>
      <c r="B935">
        <v>25</v>
      </c>
      <c r="C935" t="s">
        <v>409</v>
      </c>
      <c r="D935">
        <v>25.74</v>
      </c>
      <c r="E935" t="str">
        <f t="shared" si="29"/>
        <v>2574</v>
      </c>
      <c r="F935" t="s">
        <v>476</v>
      </c>
      <c r="G935" t="str">
        <f t="shared" si="28"/>
        <v>Sibaté, Cundinamarca, 2574</v>
      </c>
    </row>
    <row r="936" spans="1:7" x14ac:dyDescent="0.25">
      <c r="A936" t="s">
        <v>316</v>
      </c>
      <c r="B936">
        <v>86</v>
      </c>
      <c r="C936" t="s">
        <v>814</v>
      </c>
      <c r="D936">
        <v>86.748999999999995</v>
      </c>
      <c r="E936" t="str">
        <f t="shared" si="29"/>
        <v>86749</v>
      </c>
      <c r="F936" t="s">
        <v>820</v>
      </c>
      <c r="G936" t="str">
        <f t="shared" si="28"/>
        <v>Sibundoy, Putumayo, 86749</v>
      </c>
    </row>
    <row r="937" spans="1:7" x14ac:dyDescent="0.25">
      <c r="A937" t="s">
        <v>17</v>
      </c>
      <c r="B937">
        <v>54</v>
      </c>
      <c r="C937" t="s">
        <v>939</v>
      </c>
      <c r="D937">
        <v>54.743000000000002</v>
      </c>
      <c r="E937" t="str">
        <f t="shared" si="29"/>
        <v>54743</v>
      </c>
      <c r="F937" t="s">
        <v>940</v>
      </c>
      <c r="G937" t="str">
        <f t="shared" si="28"/>
        <v>Silos, Norte de Santander, 54743</v>
      </c>
    </row>
    <row r="938" spans="1:7" x14ac:dyDescent="0.25">
      <c r="A938" t="s">
        <v>17</v>
      </c>
      <c r="B938">
        <v>25</v>
      </c>
      <c r="C938" t="s">
        <v>409</v>
      </c>
      <c r="D938">
        <v>25.742999999999999</v>
      </c>
      <c r="E938" t="str">
        <f t="shared" si="29"/>
        <v>25743</v>
      </c>
      <c r="F938" t="s">
        <v>477</v>
      </c>
      <c r="G938" t="str">
        <f t="shared" si="28"/>
        <v>Silvania, Cundinamarca, 25743</v>
      </c>
    </row>
    <row r="939" spans="1:7" x14ac:dyDescent="0.25">
      <c r="A939" t="s">
        <v>62</v>
      </c>
      <c r="B939">
        <v>19</v>
      </c>
      <c r="C939" t="s">
        <v>327</v>
      </c>
      <c r="D939">
        <v>19.742999999999999</v>
      </c>
      <c r="E939" t="str">
        <f t="shared" si="29"/>
        <v>19743</v>
      </c>
      <c r="F939" t="s">
        <v>353</v>
      </c>
      <c r="G939" t="str">
        <f t="shared" si="28"/>
        <v>Silvia, Cauca, 19743</v>
      </c>
    </row>
    <row r="940" spans="1:7" x14ac:dyDescent="0.25">
      <c r="A940" t="s">
        <v>17</v>
      </c>
      <c r="B940">
        <v>68</v>
      </c>
      <c r="C940" t="s">
        <v>104</v>
      </c>
      <c r="D940">
        <v>68.745000000000005</v>
      </c>
      <c r="E940" t="str">
        <f t="shared" si="29"/>
        <v>68745</v>
      </c>
      <c r="F940" t="s">
        <v>732</v>
      </c>
      <c r="G940" t="str">
        <f t="shared" si="28"/>
        <v>Simacota, Santander, 68745</v>
      </c>
    </row>
    <row r="941" spans="1:7" x14ac:dyDescent="0.25">
      <c r="A941" t="s">
        <v>17</v>
      </c>
      <c r="B941">
        <v>25</v>
      </c>
      <c r="C941" t="s">
        <v>409</v>
      </c>
      <c r="D941">
        <v>25.745000000000001</v>
      </c>
      <c r="E941" t="str">
        <f t="shared" si="29"/>
        <v>25745</v>
      </c>
      <c r="F941" t="s">
        <v>478</v>
      </c>
      <c r="G941" t="str">
        <f t="shared" si="28"/>
        <v>Simijaca, Cundinamarca, 25745</v>
      </c>
    </row>
    <row r="942" spans="1:7" x14ac:dyDescent="0.25">
      <c r="A942" t="s">
        <v>56</v>
      </c>
      <c r="B942">
        <v>13</v>
      </c>
      <c r="C942" t="s">
        <v>154</v>
      </c>
      <c r="D942">
        <v>13.744</v>
      </c>
      <c r="E942" t="str">
        <f t="shared" si="29"/>
        <v>13744</v>
      </c>
      <c r="F942" t="s">
        <v>179</v>
      </c>
      <c r="G942" t="str">
        <f t="shared" si="28"/>
        <v>Simití, Bolívar, 13744</v>
      </c>
    </row>
    <row r="943" spans="1:7" x14ac:dyDescent="0.25">
      <c r="A943" t="s">
        <v>56</v>
      </c>
      <c r="B943">
        <v>70</v>
      </c>
      <c r="C943" t="s">
        <v>356</v>
      </c>
      <c r="D943">
        <v>70.001000000000005</v>
      </c>
      <c r="E943" t="str">
        <f t="shared" si="29"/>
        <v>70001</v>
      </c>
      <c r="F943" t="s">
        <v>740</v>
      </c>
      <c r="G943" t="str">
        <f t="shared" si="28"/>
        <v>Sincelejo, Sucre, 70001</v>
      </c>
    </row>
    <row r="944" spans="1:7" x14ac:dyDescent="0.25">
      <c r="A944" t="s">
        <v>62</v>
      </c>
      <c r="B944">
        <v>27</v>
      </c>
      <c r="C944" t="s">
        <v>63</v>
      </c>
      <c r="D944">
        <v>27.745000000000001</v>
      </c>
      <c r="E944" t="str">
        <f t="shared" si="29"/>
        <v>27745</v>
      </c>
      <c r="F944" t="s">
        <v>523</v>
      </c>
      <c r="G944" t="str">
        <f t="shared" si="28"/>
        <v>Sipí, Chocó, 27745</v>
      </c>
    </row>
    <row r="945" spans="1:7" x14ac:dyDescent="0.25">
      <c r="A945" t="s">
        <v>56</v>
      </c>
      <c r="B945">
        <v>47</v>
      </c>
      <c r="C945" t="s">
        <v>570</v>
      </c>
      <c r="D945">
        <v>47.744999999999997</v>
      </c>
      <c r="E945" t="str">
        <f t="shared" si="29"/>
        <v>47745</v>
      </c>
      <c r="F945" t="s">
        <v>589</v>
      </c>
      <c r="G945" t="str">
        <f t="shared" si="28"/>
        <v>Sitionuevo, Magdalena, 47745</v>
      </c>
    </row>
    <row r="946" spans="1:7" x14ac:dyDescent="0.25">
      <c r="A946" t="s">
        <v>17</v>
      </c>
      <c r="B946">
        <v>25</v>
      </c>
      <c r="C946" t="s">
        <v>409</v>
      </c>
      <c r="D946">
        <v>25.754000000000001</v>
      </c>
      <c r="E946" t="str">
        <f t="shared" si="29"/>
        <v>25754</v>
      </c>
      <c r="F946" t="s">
        <v>479</v>
      </c>
      <c r="G946" t="str">
        <f t="shared" si="28"/>
        <v>Soacha, Cundinamarca, 25754</v>
      </c>
    </row>
    <row r="947" spans="1:7" x14ac:dyDescent="0.25">
      <c r="A947" t="s">
        <v>17</v>
      </c>
      <c r="B947">
        <v>15</v>
      </c>
      <c r="C947" t="s">
        <v>18</v>
      </c>
      <c r="D947">
        <v>15.753</v>
      </c>
      <c r="E947" t="str">
        <f t="shared" si="29"/>
        <v>15753</v>
      </c>
      <c r="F947" t="s">
        <v>265</v>
      </c>
      <c r="G947" t="str">
        <f t="shared" si="28"/>
        <v>Soatá, Boyacá, 15753</v>
      </c>
    </row>
    <row r="948" spans="1:7" x14ac:dyDescent="0.25">
      <c r="A948" t="s">
        <v>17</v>
      </c>
      <c r="B948">
        <v>15</v>
      </c>
      <c r="C948" t="s">
        <v>18</v>
      </c>
      <c r="D948">
        <v>15.757</v>
      </c>
      <c r="E948" t="str">
        <f t="shared" si="29"/>
        <v>15757</v>
      </c>
      <c r="F948" t="s">
        <v>267</v>
      </c>
      <c r="G948" t="str">
        <f t="shared" si="28"/>
        <v>Socha, Boyacá, 15757</v>
      </c>
    </row>
    <row r="949" spans="1:7" x14ac:dyDescent="0.25">
      <c r="A949" t="s">
        <v>17</v>
      </c>
      <c r="B949">
        <v>68</v>
      </c>
      <c r="C949" t="s">
        <v>104</v>
      </c>
      <c r="D949">
        <v>68.754999999999995</v>
      </c>
      <c r="E949" t="str">
        <f t="shared" si="29"/>
        <v>68755</v>
      </c>
      <c r="F949" t="s">
        <v>733</v>
      </c>
      <c r="G949" t="str">
        <f t="shared" si="28"/>
        <v>Socorro, Santander, 68755</v>
      </c>
    </row>
    <row r="950" spans="1:7" x14ac:dyDescent="0.25">
      <c r="A950" t="s">
        <v>17</v>
      </c>
      <c r="B950">
        <v>15</v>
      </c>
      <c r="C950" t="s">
        <v>18</v>
      </c>
      <c r="D950">
        <v>15.755000000000001</v>
      </c>
      <c r="E950" t="str">
        <f t="shared" si="29"/>
        <v>15755</v>
      </c>
      <c r="F950" t="s">
        <v>266</v>
      </c>
      <c r="G950" t="str">
        <f t="shared" si="28"/>
        <v>Socotá, Boyacá, 15755</v>
      </c>
    </row>
    <row r="951" spans="1:7" x14ac:dyDescent="0.25">
      <c r="A951" t="s">
        <v>17</v>
      </c>
      <c r="B951">
        <v>15</v>
      </c>
      <c r="C951" t="s">
        <v>18</v>
      </c>
      <c r="D951">
        <v>15.759</v>
      </c>
      <c r="E951" t="str">
        <f t="shared" si="29"/>
        <v>15759</v>
      </c>
      <c r="F951" t="s">
        <v>268</v>
      </c>
      <c r="G951" t="str">
        <f t="shared" si="28"/>
        <v>Sogamoso, Boyacá, 15759</v>
      </c>
    </row>
    <row r="952" spans="1:7" x14ac:dyDescent="0.25">
      <c r="A952" t="s">
        <v>316</v>
      </c>
      <c r="B952">
        <v>18</v>
      </c>
      <c r="C952" t="s">
        <v>317</v>
      </c>
      <c r="D952">
        <v>18.756</v>
      </c>
      <c r="E952" t="str">
        <f t="shared" si="29"/>
        <v>18756</v>
      </c>
      <c r="F952" t="s">
        <v>325</v>
      </c>
      <c r="G952" t="str">
        <f t="shared" si="28"/>
        <v>Solano, Caquetá, 18756</v>
      </c>
    </row>
    <row r="953" spans="1:7" x14ac:dyDescent="0.25">
      <c r="A953" t="s">
        <v>56</v>
      </c>
      <c r="B953">
        <v>8</v>
      </c>
      <c r="C953" t="s">
        <v>137</v>
      </c>
      <c r="D953">
        <v>8.7579999999999991</v>
      </c>
      <c r="E953" t="str">
        <f t="shared" si="29"/>
        <v>8758</v>
      </c>
      <c r="F953" t="s">
        <v>150</v>
      </c>
      <c r="G953" t="str">
        <f t="shared" si="28"/>
        <v>Soledad, Atlántico, 8758</v>
      </c>
    </row>
    <row r="954" spans="1:7" x14ac:dyDescent="0.25">
      <c r="A954" t="s">
        <v>316</v>
      </c>
      <c r="B954">
        <v>18</v>
      </c>
      <c r="C954" t="s">
        <v>317</v>
      </c>
      <c r="D954">
        <v>18.785</v>
      </c>
      <c r="E954" t="str">
        <f t="shared" si="29"/>
        <v>18785</v>
      </c>
      <c r="F954" t="s">
        <v>326</v>
      </c>
      <c r="G954" t="str">
        <f t="shared" si="28"/>
        <v>Solita, Caquetá, 18785</v>
      </c>
    </row>
    <row r="955" spans="1:7" x14ac:dyDescent="0.25">
      <c r="A955" t="s">
        <v>17</v>
      </c>
      <c r="B955">
        <v>15</v>
      </c>
      <c r="C955" t="s">
        <v>18</v>
      </c>
      <c r="D955">
        <v>15.760999999999999</v>
      </c>
      <c r="E955" t="str">
        <f t="shared" si="29"/>
        <v>15761</v>
      </c>
      <c r="F955" t="s">
        <v>269</v>
      </c>
      <c r="G955" t="str">
        <f t="shared" si="28"/>
        <v>Somondoco, Boyacá, 15761</v>
      </c>
    </row>
    <row r="956" spans="1:7" x14ac:dyDescent="0.25">
      <c r="A956" t="s">
        <v>5</v>
      </c>
      <c r="B956">
        <v>5</v>
      </c>
      <c r="C956" t="s">
        <v>6</v>
      </c>
      <c r="D956">
        <v>5.7560000000000002</v>
      </c>
      <c r="E956" t="str">
        <f t="shared" si="29"/>
        <v>5756</v>
      </c>
      <c r="F956" t="s">
        <v>1048</v>
      </c>
      <c r="G956" t="str">
        <f t="shared" si="28"/>
        <v>Sonsón, Antioquia, 5756</v>
      </c>
    </row>
    <row r="957" spans="1:7" x14ac:dyDescent="0.25">
      <c r="A957" t="s">
        <v>5</v>
      </c>
      <c r="B957">
        <v>5</v>
      </c>
      <c r="C957" t="s">
        <v>6</v>
      </c>
      <c r="D957">
        <v>5.7610000000000001</v>
      </c>
      <c r="E957" t="str">
        <f t="shared" si="29"/>
        <v>5761</v>
      </c>
      <c r="F957" t="s">
        <v>116</v>
      </c>
      <c r="G957" t="str">
        <f t="shared" si="28"/>
        <v>Sopetrán, Antioquia, 5761</v>
      </c>
    </row>
    <row r="958" spans="1:7" x14ac:dyDescent="0.25">
      <c r="A958" t="s">
        <v>56</v>
      </c>
      <c r="B958">
        <v>13</v>
      </c>
      <c r="C958" t="s">
        <v>154</v>
      </c>
      <c r="D958">
        <v>13.76</v>
      </c>
      <c r="E958" t="str">
        <f t="shared" si="29"/>
        <v>1376</v>
      </c>
      <c r="F958" t="s">
        <v>180</v>
      </c>
      <c r="G958" t="str">
        <f t="shared" si="28"/>
        <v>Soplaviento, Bolívar, 1376</v>
      </c>
    </row>
    <row r="959" spans="1:7" x14ac:dyDescent="0.25">
      <c r="A959" t="s">
        <v>17</v>
      </c>
      <c r="B959">
        <v>25</v>
      </c>
      <c r="C959" t="s">
        <v>409</v>
      </c>
      <c r="D959">
        <v>25.757999999999999</v>
      </c>
      <c r="E959" t="str">
        <f t="shared" si="29"/>
        <v>25758</v>
      </c>
      <c r="F959" t="s">
        <v>1030</v>
      </c>
      <c r="G959" t="str">
        <f t="shared" si="28"/>
        <v>Sopó, Cundinamarca, 25758</v>
      </c>
    </row>
    <row r="960" spans="1:7" x14ac:dyDescent="0.25">
      <c r="A960" t="s">
        <v>17</v>
      </c>
      <c r="B960">
        <v>15</v>
      </c>
      <c r="C960" t="s">
        <v>18</v>
      </c>
      <c r="D960">
        <v>15.762</v>
      </c>
      <c r="E960" t="str">
        <f t="shared" si="29"/>
        <v>15762</v>
      </c>
      <c r="F960" t="s">
        <v>270</v>
      </c>
      <c r="G960" t="str">
        <f t="shared" si="28"/>
        <v>Sora, Boyacá, 15762</v>
      </c>
    </row>
    <row r="961" spans="1:7" x14ac:dyDescent="0.25">
      <c r="A961" t="s">
        <v>17</v>
      </c>
      <c r="B961">
        <v>15</v>
      </c>
      <c r="C961" t="s">
        <v>18</v>
      </c>
      <c r="D961">
        <v>15.763999999999999</v>
      </c>
      <c r="E961" t="str">
        <f t="shared" si="29"/>
        <v>15764</v>
      </c>
      <c r="F961" t="s">
        <v>272</v>
      </c>
      <c r="G961" t="str">
        <f t="shared" si="28"/>
        <v>Soracá, Boyacá, 15764</v>
      </c>
    </row>
    <row r="962" spans="1:7" x14ac:dyDescent="0.25">
      <c r="A962" t="s">
        <v>17</v>
      </c>
      <c r="B962">
        <v>15</v>
      </c>
      <c r="C962" t="s">
        <v>18</v>
      </c>
      <c r="D962">
        <v>15.763</v>
      </c>
      <c r="E962" t="str">
        <f t="shared" si="29"/>
        <v>15763</v>
      </c>
      <c r="F962" t="s">
        <v>271</v>
      </c>
      <c r="G962" t="str">
        <f t="shared" ref="G962:G1025" si="30">_xlfn.CONCAT(F962,", ",C962,", ",E962)</f>
        <v>Sotaquirá, Boyacá, 15763</v>
      </c>
    </row>
    <row r="963" spans="1:7" x14ac:dyDescent="0.25">
      <c r="A963" t="s">
        <v>62</v>
      </c>
      <c r="B963">
        <v>19</v>
      </c>
      <c r="C963" t="s">
        <v>327</v>
      </c>
      <c r="D963">
        <v>19.760000000000002</v>
      </c>
      <c r="E963" t="str">
        <f t="shared" ref="E963:E1026" si="31">SUBSTITUTE(D963, ".", "",1)</f>
        <v>1976</v>
      </c>
      <c r="F963" t="s">
        <v>354</v>
      </c>
      <c r="G963" t="str">
        <f t="shared" si="30"/>
        <v>Sotara, Cauca, 1976</v>
      </c>
    </row>
    <row r="964" spans="1:7" x14ac:dyDescent="0.25">
      <c r="A964" t="s">
        <v>17</v>
      </c>
      <c r="B964">
        <v>68</v>
      </c>
      <c r="C964" t="s">
        <v>104</v>
      </c>
      <c r="D964">
        <v>68.77</v>
      </c>
      <c r="E964" t="str">
        <f t="shared" si="31"/>
        <v>6877</v>
      </c>
      <c r="F964" t="s">
        <v>734</v>
      </c>
      <c r="G964" t="str">
        <f t="shared" si="30"/>
        <v>Suaita, Santander, 6877</v>
      </c>
    </row>
    <row r="965" spans="1:7" x14ac:dyDescent="0.25">
      <c r="A965" t="s">
        <v>56</v>
      </c>
      <c r="B965">
        <v>8</v>
      </c>
      <c r="C965" t="s">
        <v>137</v>
      </c>
      <c r="D965">
        <v>8.77</v>
      </c>
      <c r="E965" t="str">
        <f t="shared" si="31"/>
        <v>877</v>
      </c>
      <c r="F965" t="s">
        <v>151</v>
      </c>
      <c r="G965" t="str">
        <f t="shared" si="30"/>
        <v>Suan, Atlántico, 877</v>
      </c>
    </row>
    <row r="966" spans="1:7" x14ac:dyDescent="0.25">
      <c r="A966" t="s">
        <v>62</v>
      </c>
      <c r="B966">
        <v>19</v>
      </c>
      <c r="C966" t="s">
        <v>327</v>
      </c>
      <c r="D966">
        <v>19.78</v>
      </c>
      <c r="E966" t="str">
        <f t="shared" si="31"/>
        <v>1978</v>
      </c>
      <c r="F966" t="s">
        <v>355</v>
      </c>
      <c r="G966" t="str">
        <f t="shared" si="30"/>
        <v>Suárez, Cauca, 1978</v>
      </c>
    </row>
    <row r="967" spans="1:7" x14ac:dyDescent="0.25">
      <c r="A967" t="s">
        <v>316</v>
      </c>
      <c r="B967">
        <v>73</v>
      </c>
      <c r="C967" t="s">
        <v>757</v>
      </c>
      <c r="D967">
        <v>73.77</v>
      </c>
      <c r="E967" t="str">
        <f t="shared" si="31"/>
        <v>7377</v>
      </c>
      <c r="F967" t="s">
        <v>355</v>
      </c>
      <c r="G967" t="str">
        <f t="shared" si="30"/>
        <v>Suárez, Tolima, 7377</v>
      </c>
    </row>
    <row r="968" spans="1:7" x14ac:dyDescent="0.25">
      <c r="A968" t="s">
        <v>316</v>
      </c>
      <c r="B968">
        <v>41</v>
      </c>
      <c r="C968" t="s">
        <v>525</v>
      </c>
      <c r="D968">
        <v>41.77</v>
      </c>
      <c r="E968" t="str">
        <f t="shared" si="31"/>
        <v>4177</v>
      </c>
      <c r="F968" t="s">
        <v>551</v>
      </c>
      <c r="G968" t="str">
        <f t="shared" si="30"/>
        <v>Suaza, Huila, 4177</v>
      </c>
    </row>
    <row r="969" spans="1:7" x14ac:dyDescent="0.25">
      <c r="A969" t="s">
        <v>17</v>
      </c>
      <c r="B969">
        <v>25</v>
      </c>
      <c r="C969" t="s">
        <v>409</v>
      </c>
      <c r="D969">
        <v>25.768999999999998</v>
      </c>
      <c r="E969" t="str">
        <f t="shared" si="31"/>
        <v>25769</v>
      </c>
      <c r="F969" t="s">
        <v>480</v>
      </c>
      <c r="G969" t="str">
        <f t="shared" si="30"/>
        <v>Subachoque, Cundinamarca, 25769</v>
      </c>
    </row>
    <row r="970" spans="1:7" x14ac:dyDescent="0.25">
      <c r="A970" t="s">
        <v>62</v>
      </c>
      <c r="B970">
        <v>19</v>
      </c>
      <c r="C970" t="s">
        <v>327</v>
      </c>
      <c r="D970">
        <v>19.785</v>
      </c>
      <c r="E970" t="str">
        <f t="shared" si="31"/>
        <v>19785</v>
      </c>
      <c r="F970" t="s">
        <v>356</v>
      </c>
      <c r="G970" t="str">
        <f t="shared" si="30"/>
        <v>Sucre, Cauca, 19785</v>
      </c>
    </row>
    <row r="971" spans="1:7" x14ac:dyDescent="0.25">
      <c r="A971" t="s">
        <v>17</v>
      </c>
      <c r="B971">
        <v>68</v>
      </c>
      <c r="C971" t="s">
        <v>104</v>
      </c>
      <c r="D971">
        <v>68.772999999999996</v>
      </c>
      <c r="E971" t="str">
        <f t="shared" si="31"/>
        <v>68773</v>
      </c>
      <c r="F971" t="s">
        <v>356</v>
      </c>
      <c r="G971" t="str">
        <f t="shared" si="30"/>
        <v>Sucre, Santander, 68773</v>
      </c>
    </row>
    <row r="972" spans="1:7" x14ac:dyDescent="0.25">
      <c r="A972" t="s">
        <v>56</v>
      </c>
      <c r="B972">
        <v>70</v>
      </c>
      <c r="C972" t="s">
        <v>356</v>
      </c>
      <c r="D972">
        <v>70.771000000000001</v>
      </c>
      <c r="E972" t="str">
        <f t="shared" si="31"/>
        <v>70771</v>
      </c>
      <c r="F972" t="s">
        <v>356</v>
      </c>
      <c r="G972" t="str">
        <f t="shared" si="30"/>
        <v>Sucre, Sucre, 70771</v>
      </c>
    </row>
    <row r="973" spans="1:7" x14ac:dyDescent="0.25">
      <c r="A973" t="s">
        <v>17</v>
      </c>
      <c r="B973">
        <v>25</v>
      </c>
      <c r="C973" t="s">
        <v>409</v>
      </c>
      <c r="D973">
        <v>25.771999999999998</v>
      </c>
      <c r="E973" t="str">
        <f t="shared" si="31"/>
        <v>25772</v>
      </c>
      <c r="F973" t="s">
        <v>481</v>
      </c>
      <c r="G973" t="str">
        <f t="shared" si="30"/>
        <v>Suesca, Cundinamarca, 25772</v>
      </c>
    </row>
    <row r="974" spans="1:7" x14ac:dyDescent="0.25">
      <c r="A974" t="s">
        <v>17</v>
      </c>
      <c r="B974">
        <v>25</v>
      </c>
      <c r="C974" t="s">
        <v>409</v>
      </c>
      <c r="D974">
        <v>25.777000000000001</v>
      </c>
      <c r="E974" t="str">
        <f t="shared" si="31"/>
        <v>25777</v>
      </c>
      <c r="F974" t="s">
        <v>482</v>
      </c>
      <c r="G974" t="str">
        <f t="shared" si="30"/>
        <v>Supatá, Cundinamarca, 25777</v>
      </c>
    </row>
    <row r="975" spans="1:7" x14ac:dyDescent="0.25">
      <c r="A975" t="s">
        <v>5</v>
      </c>
      <c r="B975">
        <v>17</v>
      </c>
      <c r="C975" t="s">
        <v>34</v>
      </c>
      <c r="D975">
        <v>17.777000000000001</v>
      </c>
      <c r="E975" t="str">
        <f t="shared" si="31"/>
        <v>17777</v>
      </c>
      <c r="F975" t="s">
        <v>312</v>
      </c>
      <c r="G975" t="str">
        <f t="shared" si="30"/>
        <v>Supía, Caldas, 17777</v>
      </c>
    </row>
    <row r="976" spans="1:7" x14ac:dyDescent="0.25">
      <c r="A976" t="s">
        <v>17</v>
      </c>
      <c r="B976">
        <v>68</v>
      </c>
      <c r="C976" t="s">
        <v>104</v>
      </c>
      <c r="D976">
        <v>68.78</v>
      </c>
      <c r="E976" t="str">
        <f t="shared" si="31"/>
        <v>6878</v>
      </c>
      <c r="F976" t="s">
        <v>735</v>
      </c>
      <c r="G976" t="str">
        <f t="shared" si="30"/>
        <v>Suratá, Santander, 6878</v>
      </c>
    </row>
    <row r="977" spans="1:7" x14ac:dyDescent="0.25">
      <c r="A977" t="s">
        <v>17</v>
      </c>
      <c r="B977">
        <v>25</v>
      </c>
      <c r="C977" t="s">
        <v>409</v>
      </c>
      <c r="D977">
        <v>25.779</v>
      </c>
      <c r="E977" t="str">
        <f t="shared" si="31"/>
        <v>25779</v>
      </c>
      <c r="F977" t="s">
        <v>483</v>
      </c>
      <c r="G977" t="str">
        <f t="shared" si="30"/>
        <v>Susa, Cundinamarca, 25779</v>
      </c>
    </row>
    <row r="978" spans="1:7" x14ac:dyDescent="0.25">
      <c r="A978" t="s">
        <v>17</v>
      </c>
      <c r="B978">
        <v>15</v>
      </c>
      <c r="C978" t="s">
        <v>18</v>
      </c>
      <c r="D978">
        <v>15.773999999999999</v>
      </c>
      <c r="E978" t="str">
        <f t="shared" si="31"/>
        <v>15774</v>
      </c>
      <c r="F978" t="s">
        <v>273</v>
      </c>
      <c r="G978" t="str">
        <f t="shared" si="30"/>
        <v>Susacón, Boyacá, 15774</v>
      </c>
    </row>
    <row r="979" spans="1:7" x14ac:dyDescent="0.25">
      <c r="A979" t="s">
        <v>17</v>
      </c>
      <c r="B979">
        <v>15</v>
      </c>
      <c r="C979" t="s">
        <v>18</v>
      </c>
      <c r="D979">
        <v>15.776</v>
      </c>
      <c r="E979" t="str">
        <f t="shared" si="31"/>
        <v>15776</v>
      </c>
      <c r="F979" t="s">
        <v>274</v>
      </c>
      <c r="G979" t="str">
        <f t="shared" si="30"/>
        <v>Sutamarchán, Boyacá, 15776</v>
      </c>
    </row>
    <row r="980" spans="1:7" x14ac:dyDescent="0.25">
      <c r="A980" t="s">
        <v>17</v>
      </c>
      <c r="B980">
        <v>25</v>
      </c>
      <c r="C980" t="s">
        <v>409</v>
      </c>
      <c r="D980">
        <v>25.780999999999999</v>
      </c>
      <c r="E980" t="str">
        <f t="shared" si="31"/>
        <v>25781</v>
      </c>
      <c r="F980" t="s">
        <v>484</v>
      </c>
      <c r="G980" t="str">
        <f t="shared" si="30"/>
        <v>Sutatausa, Cundinamarca, 25781</v>
      </c>
    </row>
    <row r="981" spans="1:7" x14ac:dyDescent="0.25">
      <c r="A981" t="s">
        <v>17</v>
      </c>
      <c r="B981">
        <v>15</v>
      </c>
      <c r="C981" t="s">
        <v>18</v>
      </c>
      <c r="D981">
        <v>15.778</v>
      </c>
      <c r="E981" t="str">
        <f t="shared" si="31"/>
        <v>15778</v>
      </c>
      <c r="F981" t="s">
        <v>275</v>
      </c>
      <c r="G981" t="str">
        <f t="shared" si="30"/>
        <v>Sutatenza, Boyacá, 15778</v>
      </c>
    </row>
    <row r="982" spans="1:7" x14ac:dyDescent="0.25">
      <c r="A982" t="s">
        <v>17</v>
      </c>
      <c r="B982">
        <v>25</v>
      </c>
      <c r="C982" t="s">
        <v>409</v>
      </c>
      <c r="D982">
        <v>25.785</v>
      </c>
      <c r="E982" t="str">
        <f t="shared" si="31"/>
        <v>25785</v>
      </c>
      <c r="F982" t="s">
        <v>485</v>
      </c>
      <c r="G982" t="str">
        <f t="shared" si="30"/>
        <v>Tabio, Cundinamarca, 25785</v>
      </c>
    </row>
    <row r="983" spans="1:7" x14ac:dyDescent="0.25">
      <c r="A983" t="s">
        <v>62</v>
      </c>
      <c r="B983">
        <v>27</v>
      </c>
      <c r="C983" t="s">
        <v>63</v>
      </c>
      <c r="D983">
        <v>27.786999999999999</v>
      </c>
      <c r="E983" t="str">
        <f t="shared" si="31"/>
        <v>27787</v>
      </c>
      <c r="F983" t="s">
        <v>1043</v>
      </c>
      <c r="G983" t="str">
        <f t="shared" si="30"/>
        <v>Tadó, Chocó, 27787</v>
      </c>
    </row>
    <row r="984" spans="1:7" x14ac:dyDescent="0.25">
      <c r="A984" t="s">
        <v>56</v>
      </c>
      <c r="B984">
        <v>13</v>
      </c>
      <c r="C984" t="s">
        <v>154</v>
      </c>
      <c r="D984">
        <v>13.78</v>
      </c>
      <c r="E984" t="str">
        <f t="shared" si="31"/>
        <v>1378</v>
      </c>
      <c r="F984" t="s">
        <v>181</v>
      </c>
      <c r="G984" t="str">
        <f t="shared" si="30"/>
        <v>Talaigua Nuevo, Bolívar, 1378</v>
      </c>
    </row>
    <row r="985" spans="1:7" x14ac:dyDescent="0.25">
      <c r="A985" t="s">
        <v>56</v>
      </c>
      <c r="B985">
        <v>20</v>
      </c>
      <c r="C985" t="s">
        <v>362</v>
      </c>
      <c r="D985">
        <v>20.786999999999999</v>
      </c>
      <c r="E985" t="str">
        <f t="shared" si="31"/>
        <v>20787</v>
      </c>
      <c r="F985" t="s">
        <v>385</v>
      </c>
      <c r="G985" t="str">
        <f t="shared" si="30"/>
        <v>Tamalameque, Cesar, 20787</v>
      </c>
    </row>
    <row r="986" spans="1:7" x14ac:dyDescent="0.25">
      <c r="A986" t="s">
        <v>117</v>
      </c>
      <c r="B986">
        <v>85</v>
      </c>
      <c r="C986" t="s">
        <v>802</v>
      </c>
      <c r="D986">
        <v>85.4</v>
      </c>
      <c r="E986" t="str">
        <f t="shared" si="31"/>
        <v>854</v>
      </c>
      <c r="F986" t="s">
        <v>1026</v>
      </c>
      <c r="G986" t="str">
        <f t="shared" si="30"/>
        <v>Támara, Casanare, 854</v>
      </c>
    </row>
    <row r="987" spans="1:7" x14ac:dyDescent="0.25">
      <c r="A987" t="s">
        <v>117</v>
      </c>
      <c r="B987">
        <v>81</v>
      </c>
      <c r="C987" t="s">
        <v>795</v>
      </c>
      <c r="D987">
        <v>81.793999999999997</v>
      </c>
      <c r="E987" t="str">
        <f t="shared" si="31"/>
        <v>81794</v>
      </c>
      <c r="F987" t="s">
        <v>801</v>
      </c>
      <c r="G987" t="str">
        <f t="shared" si="30"/>
        <v>Tame, Arauca, 81794</v>
      </c>
    </row>
    <row r="988" spans="1:7" x14ac:dyDescent="0.25">
      <c r="A988" t="s">
        <v>5</v>
      </c>
      <c r="B988">
        <v>5</v>
      </c>
      <c r="C988" t="s">
        <v>6</v>
      </c>
      <c r="D988">
        <v>5.7889999999999997</v>
      </c>
      <c r="E988" t="str">
        <f t="shared" si="31"/>
        <v>5789</v>
      </c>
      <c r="F988" t="s">
        <v>120</v>
      </c>
      <c r="G988" t="str">
        <f t="shared" si="30"/>
        <v>Támesis, Antioquia, 5789</v>
      </c>
    </row>
    <row r="989" spans="1:7" x14ac:dyDescent="0.25">
      <c r="A989" t="s">
        <v>62</v>
      </c>
      <c r="B989">
        <v>52</v>
      </c>
      <c r="C989" t="s">
        <v>84</v>
      </c>
      <c r="D989">
        <v>52.786000000000001</v>
      </c>
      <c r="E989" t="str">
        <f t="shared" si="31"/>
        <v>52786</v>
      </c>
      <c r="F989" t="s">
        <v>656</v>
      </c>
      <c r="G989" t="str">
        <f t="shared" si="30"/>
        <v>Taminango, Nariño, 52786</v>
      </c>
    </row>
    <row r="990" spans="1:7" x14ac:dyDescent="0.25">
      <c r="A990" t="s">
        <v>62</v>
      </c>
      <c r="B990">
        <v>52</v>
      </c>
      <c r="C990" t="s">
        <v>84</v>
      </c>
      <c r="D990">
        <v>52.787999999999997</v>
      </c>
      <c r="E990" t="str">
        <f t="shared" si="31"/>
        <v>52788</v>
      </c>
      <c r="F990" t="s">
        <v>657</v>
      </c>
      <c r="G990" t="str">
        <f t="shared" si="30"/>
        <v>Tangua, Nariño, 52788</v>
      </c>
    </row>
    <row r="991" spans="1:7" x14ac:dyDescent="0.25">
      <c r="A991" t="s">
        <v>316</v>
      </c>
      <c r="B991">
        <v>97</v>
      </c>
      <c r="C991" t="s">
        <v>840</v>
      </c>
      <c r="D991">
        <v>97.665999999999997</v>
      </c>
      <c r="E991" t="str">
        <f t="shared" si="31"/>
        <v>97666</v>
      </c>
      <c r="F991" t="s">
        <v>843</v>
      </c>
      <c r="G991" t="str">
        <f t="shared" si="30"/>
        <v>Taraira, Vaupés, 97666</v>
      </c>
    </row>
    <row r="992" spans="1:7" x14ac:dyDescent="0.25">
      <c r="A992" t="s">
        <v>316</v>
      </c>
      <c r="B992">
        <v>91</v>
      </c>
      <c r="C992" t="s">
        <v>822</v>
      </c>
      <c r="D992">
        <v>91.798000000000002</v>
      </c>
      <c r="E992" t="str">
        <f t="shared" si="31"/>
        <v>91798</v>
      </c>
      <c r="F992" t="s">
        <v>830</v>
      </c>
      <c r="G992" t="str">
        <f t="shared" si="30"/>
        <v>Tarapacá, Amazonas, 91798</v>
      </c>
    </row>
    <row r="993" spans="1:7" x14ac:dyDescent="0.25">
      <c r="A993" t="s">
        <v>5</v>
      </c>
      <c r="B993">
        <v>5</v>
      </c>
      <c r="C993" t="s">
        <v>6</v>
      </c>
      <c r="D993">
        <v>5.79</v>
      </c>
      <c r="E993" t="str">
        <f t="shared" si="31"/>
        <v>579</v>
      </c>
      <c r="F993" t="s">
        <v>121</v>
      </c>
      <c r="G993" t="str">
        <f t="shared" si="30"/>
        <v>Tarazá, Antioquia, 579</v>
      </c>
    </row>
    <row r="994" spans="1:7" x14ac:dyDescent="0.25">
      <c r="A994" t="s">
        <v>316</v>
      </c>
      <c r="B994">
        <v>41</v>
      </c>
      <c r="C994" t="s">
        <v>525</v>
      </c>
      <c r="D994">
        <v>41.790999999999997</v>
      </c>
      <c r="E994" t="str">
        <f t="shared" si="31"/>
        <v>41791</v>
      </c>
      <c r="F994" t="s">
        <v>552</v>
      </c>
      <c r="G994" t="str">
        <f t="shared" si="30"/>
        <v>Tarqui, Huila, 41791</v>
      </c>
    </row>
    <row r="995" spans="1:7" x14ac:dyDescent="0.25">
      <c r="A995" t="s">
        <v>5</v>
      </c>
      <c r="B995">
        <v>5</v>
      </c>
      <c r="C995" t="s">
        <v>6</v>
      </c>
      <c r="D995">
        <v>5.7919999999999998</v>
      </c>
      <c r="E995" t="str">
        <f t="shared" si="31"/>
        <v>5792</v>
      </c>
      <c r="F995" t="s">
        <v>122</v>
      </c>
      <c r="G995" t="str">
        <f t="shared" si="30"/>
        <v>Tarso, Antioquia, 5792</v>
      </c>
    </row>
    <row r="996" spans="1:7" x14ac:dyDescent="0.25">
      <c r="A996" t="s">
        <v>17</v>
      </c>
      <c r="B996">
        <v>15</v>
      </c>
      <c r="C996" t="s">
        <v>18</v>
      </c>
      <c r="D996">
        <v>15.79</v>
      </c>
      <c r="E996" t="str">
        <f t="shared" si="31"/>
        <v>1579</v>
      </c>
      <c r="F996" t="s">
        <v>276</v>
      </c>
      <c r="G996" t="str">
        <f t="shared" si="30"/>
        <v>Tasco, Boyacá, 1579</v>
      </c>
    </row>
    <row r="997" spans="1:7" x14ac:dyDescent="0.25">
      <c r="A997" t="s">
        <v>117</v>
      </c>
      <c r="B997">
        <v>85</v>
      </c>
      <c r="C997" t="s">
        <v>802</v>
      </c>
      <c r="D997">
        <v>85.41</v>
      </c>
      <c r="E997" t="str">
        <f t="shared" si="31"/>
        <v>8541</v>
      </c>
      <c r="F997" t="s">
        <v>812</v>
      </c>
      <c r="G997" t="str">
        <f t="shared" si="30"/>
        <v>Tauramena, Casanare, 8541</v>
      </c>
    </row>
    <row r="998" spans="1:7" x14ac:dyDescent="0.25">
      <c r="A998" t="s">
        <v>17</v>
      </c>
      <c r="B998">
        <v>25</v>
      </c>
      <c r="C998" t="s">
        <v>409</v>
      </c>
      <c r="D998">
        <v>25.792999999999999</v>
      </c>
      <c r="E998" t="str">
        <f t="shared" si="31"/>
        <v>25793</v>
      </c>
      <c r="F998" t="s">
        <v>486</v>
      </c>
      <c r="G998" t="str">
        <f t="shared" si="30"/>
        <v>Tausa, Cundinamarca, 25793</v>
      </c>
    </row>
    <row r="999" spans="1:7" x14ac:dyDescent="0.25">
      <c r="A999" t="s">
        <v>316</v>
      </c>
      <c r="B999">
        <v>41</v>
      </c>
      <c r="C999" t="s">
        <v>525</v>
      </c>
      <c r="D999">
        <v>41.798999999999999</v>
      </c>
      <c r="E999" t="str">
        <f t="shared" si="31"/>
        <v>41799</v>
      </c>
      <c r="F999" t="s">
        <v>554</v>
      </c>
      <c r="G999" t="str">
        <f t="shared" si="30"/>
        <v>Tello, Huila, 41799</v>
      </c>
    </row>
    <row r="1000" spans="1:7" x14ac:dyDescent="0.25">
      <c r="A1000" t="s">
        <v>17</v>
      </c>
      <c r="B1000">
        <v>25</v>
      </c>
      <c r="C1000" t="s">
        <v>409</v>
      </c>
      <c r="D1000">
        <v>25.797000000000001</v>
      </c>
      <c r="E1000" t="str">
        <f t="shared" si="31"/>
        <v>25797</v>
      </c>
      <c r="F1000" t="s">
        <v>487</v>
      </c>
      <c r="G1000" t="str">
        <f t="shared" si="30"/>
        <v>Tena, Cundinamarca, 25797</v>
      </c>
    </row>
    <row r="1001" spans="1:7" x14ac:dyDescent="0.25">
      <c r="A1001" t="s">
        <v>56</v>
      </c>
      <c r="B1001">
        <v>47</v>
      </c>
      <c r="C1001" t="s">
        <v>570</v>
      </c>
      <c r="D1001">
        <v>47.798000000000002</v>
      </c>
      <c r="E1001" t="str">
        <f t="shared" si="31"/>
        <v>47798</v>
      </c>
      <c r="F1001" t="s">
        <v>590</v>
      </c>
      <c r="G1001" t="str">
        <f t="shared" si="30"/>
        <v>Tenerife, Magdalena, 47798</v>
      </c>
    </row>
    <row r="1002" spans="1:7" x14ac:dyDescent="0.25">
      <c r="A1002" t="s">
        <v>17</v>
      </c>
      <c r="B1002">
        <v>25</v>
      </c>
      <c r="C1002" t="s">
        <v>409</v>
      </c>
      <c r="D1002">
        <v>25.798999999999999</v>
      </c>
      <c r="E1002" t="str">
        <f t="shared" si="31"/>
        <v>25799</v>
      </c>
      <c r="F1002" t="s">
        <v>488</v>
      </c>
      <c r="G1002" t="str">
        <f t="shared" si="30"/>
        <v>Tenjo, Cundinamarca, 25799</v>
      </c>
    </row>
    <row r="1003" spans="1:7" x14ac:dyDescent="0.25">
      <c r="A1003" t="s">
        <v>17</v>
      </c>
      <c r="B1003">
        <v>15</v>
      </c>
      <c r="C1003" t="s">
        <v>18</v>
      </c>
      <c r="D1003">
        <v>15.798</v>
      </c>
      <c r="E1003" t="str">
        <f t="shared" si="31"/>
        <v>15798</v>
      </c>
      <c r="F1003" t="s">
        <v>277</v>
      </c>
      <c r="G1003" t="str">
        <f t="shared" si="30"/>
        <v>Tenza, Boyacá, 15798</v>
      </c>
    </row>
    <row r="1004" spans="1:7" x14ac:dyDescent="0.25">
      <c r="A1004" t="s">
        <v>17</v>
      </c>
      <c r="B1004">
        <v>54</v>
      </c>
      <c r="C1004" t="s">
        <v>939</v>
      </c>
      <c r="D1004">
        <v>54.8</v>
      </c>
      <c r="E1004" t="str">
        <f t="shared" si="31"/>
        <v>548</v>
      </c>
      <c r="F1004" t="s">
        <v>957</v>
      </c>
      <c r="G1004" t="str">
        <f t="shared" si="30"/>
        <v>Teorama, Norte de Santander, 548</v>
      </c>
    </row>
    <row r="1005" spans="1:7" x14ac:dyDescent="0.25">
      <c r="A1005" t="s">
        <v>316</v>
      </c>
      <c r="B1005">
        <v>41</v>
      </c>
      <c r="C1005" t="s">
        <v>525</v>
      </c>
      <c r="D1005">
        <v>41.801000000000002</v>
      </c>
      <c r="E1005" t="str">
        <f t="shared" si="31"/>
        <v>41801</v>
      </c>
      <c r="F1005" t="s">
        <v>555</v>
      </c>
      <c r="G1005" t="str">
        <f t="shared" si="30"/>
        <v>Teruel, Huila, 41801</v>
      </c>
    </row>
    <row r="1006" spans="1:7" x14ac:dyDescent="0.25">
      <c r="A1006" t="s">
        <v>316</v>
      </c>
      <c r="B1006">
        <v>41</v>
      </c>
      <c r="C1006" t="s">
        <v>525</v>
      </c>
      <c r="D1006">
        <v>41.796999999999997</v>
      </c>
      <c r="E1006" t="str">
        <f t="shared" si="31"/>
        <v>41797</v>
      </c>
      <c r="F1006" t="s">
        <v>553</v>
      </c>
      <c r="G1006" t="str">
        <f t="shared" si="30"/>
        <v>Tesalia, Huila, 41797</v>
      </c>
    </row>
    <row r="1007" spans="1:7" x14ac:dyDescent="0.25">
      <c r="A1007" t="s">
        <v>17</v>
      </c>
      <c r="B1007">
        <v>25</v>
      </c>
      <c r="C1007" t="s">
        <v>409</v>
      </c>
      <c r="D1007">
        <v>25.805</v>
      </c>
      <c r="E1007" t="str">
        <f t="shared" si="31"/>
        <v>25805</v>
      </c>
      <c r="F1007" t="s">
        <v>489</v>
      </c>
      <c r="G1007" t="str">
        <f t="shared" si="30"/>
        <v>Tibacuy, Cundinamarca, 25805</v>
      </c>
    </row>
    <row r="1008" spans="1:7" x14ac:dyDescent="0.25">
      <c r="A1008" t="s">
        <v>17</v>
      </c>
      <c r="B1008">
        <v>15</v>
      </c>
      <c r="C1008" t="s">
        <v>18</v>
      </c>
      <c r="D1008">
        <v>15.804</v>
      </c>
      <c r="E1008" t="str">
        <f t="shared" si="31"/>
        <v>15804</v>
      </c>
      <c r="F1008" t="s">
        <v>278</v>
      </c>
      <c r="G1008" t="str">
        <f t="shared" si="30"/>
        <v>Tibaná, Boyacá, 15804</v>
      </c>
    </row>
    <row r="1009" spans="1:7" x14ac:dyDescent="0.25">
      <c r="A1009" t="s">
        <v>17</v>
      </c>
      <c r="B1009">
        <v>15</v>
      </c>
      <c r="C1009" t="s">
        <v>18</v>
      </c>
      <c r="D1009">
        <v>15.805999999999999</v>
      </c>
      <c r="E1009" t="str">
        <f t="shared" si="31"/>
        <v>15806</v>
      </c>
      <c r="F1009" t="s">
        <v>1027</v>
      </c>
      <c r="G1009" t="str">
        <f t="shared" si="30"/>
        <v>Tibasosa, Boyacá, 15806</v>
      </c>
    </row>
    <row r="1010" spans="1:7" x14ac:dyDescent="0.25">
      <c r="A1010" t="s">
        <v>17</v>
      </c>
      <c r="B1010">
        <v>25</v>
      </c>
      <c r="C1010" t="s">
        <v>409</v>
      </c>
      <c r="D1010">
        <v>25.806999999999999</v>
      </c>
      <c r="E1010" t="str">
        <f t="shared" si="31"/>
        <v>25807</v>
      </c>
      <c r="F1010" t="s">
        <v>490</v>
      </c>
      <c r="G1010" t="str">
        <f t="shared" si="30"/>
        <v>Tibirita, Cundinamarca, 25807</v>
      </c>
    </row>
    <row r="1011" spans="1:7" x14ac:dyDescent="0.25">
      <c r="A1011" t="s">
        <v>17</v>
      </c>
      <c r="B1011">
        <v>54</v>
      </c>
      <c r="C1011" t="s">
        <v>939</v>
      </c>
      <c r="D1011">
        <v>54.81</v>
      </c>
      <c r="E1011" t="str">
        <f t="shared" si="31"/>
        <v>5481</v>
      </c>
      <c r="F1011" t="s">
        <v>971</v>
      </c>
      <c r="G1011" t="str">
        <f t="shared" si="30"/>
        <v>Tibú, Norte de Santander, 5481</v>
      </c>
    </row>
    <row r="1012" spans="1:7" x14ac:dyDescent="0.25">
      <c r="A1012" t="s">
        <v>56</v>
      </c>
      <c r="B1012">
        <v>23</v>
      </c>
      <c r="C1012" t="s">
        <v>57</v>
      </c>
      <c r="D1012">
        <v>23.806999999999999</v>
      </c>
      <c r="E1012" t="str">
        <f t="shared" si="31"/>
        <v>23807</v>
      </c>
      <c r="F1012" t="s">
        <v>406</v>
      </c>
      <c r="G1012" t="str">
        <f t="shared" si="30"/>
        <v>Tierralta, Córdoba, 23807</v>
      </c>
    </row>
    <row r="1013" spans="1:7" x14ac:dyDescent="0.25">
      <c r="A1013" t="s">
        <v>316</v>
      </c>
      <c r="B1013">
        <v>41</v>
      </c>
      <c r="C1013" t="s">
        <v>525</v>
      </c>
      <c r="D1013">
        <v>41.807000000000002</v>
      </c>
      <c r="E1013" t="str">
        <f t="shared" si="31"/>
        <v>41807</v>
      </c>
      <c r="F1013" t="s">
        <v>556</v>
      </c>
      <c r="G1013" t="str">
        <f t="shared" si="30"/>
        <v>Timaná, Huila, 41807</v>
      </c>
    </row>
    <row r="1014" spans="1:7" x14ac:dyDescent="0.25">
      <c r="A1014" t="s">
        <v>62</v>
      </c>
      <c r="B1014">
        <v>19</v>
      </c>
      <c r="C1014" t="s">
        <v>327</v>
      </c>
      <c r="D1014">
        <v>19.806999999999999</v>
      </c>
      <c r="E1014" t="str">
        <f t="shared" si="31"/>
        <v>19807</v>
      </c>
      <c r="F1014" t="s">
        <v>357</v>
      </c>
      <c r="G1014" t="str">
        <f t="shared" si="30"/>
        <v>Timbío, Cauca, 19807</v>
      </c>
    </row>
    <row r="1015" spans="1:7" x14ac:dyDescent="0.25">
      <c r="A1015" t="s">
        <v>62</v>
      </c>
      <c r="B1015">
        <v>19</v>
      </c>
      <c r="C1015" t="s">
        <v>327</v>
      </c>
      <c r="D1015">
        <v>19.809000000000001</v>
      </c>
      <c r="E1015" t="str">
        <f t="shared" si="31"/>
        <v>19809</v>
      </c>
      <c r="F1015" t="s">
        <v>358</v>
      </c>
      <c r="G1015" t="str">
        <f t="shared" si="30"/>
        <v>Timbiquí, Cauca, 19809</v>
      </c>
    </row>
    <row r="1016" spans="1:7" x14ac:dyDescent="0.25">
      <c r="A1016" t="s">
        <v>17</v>
      </c>
      <c r="B1016">
        <v>15</v>
      </c>
      <c r="C1016" t="s">
        <v>18</v>
      </c>
      <c r="D1016">
        <v>15.808</v>
      </c>
      <c r="E1016" t="str">
        <f t="shared" si="31"/>
        <v>15808</v>
      </c>
      <c r="F1016" t="s">
        <v>279</v>
      </c>
      <c r="G1016" t="str">
        <f t="shared" si="30"/>
        <v>Tinjacá, Boyacá, 15808</v>
      </c>
    </row>
    <row r="1017" spans="1:7" x14ac:dyDescent="0.25">
      <c r="A1017" t="s">
        <v>17</v>
      </c>
      <c r="B1017">
        <v>15</v>
      </c>
      <c r="C1017" t="s">
        <v>18</v>
      </c>
      <c r="D1017">
        <v>15.81</v>
      </c>
      <c r="E1017" t="str">
        <f t="shared" si="31"/>
        <v>1581</v>
      </c>
      <c r="F1017" t="s">
        <v>280</v>
      </c>
      <c r="G1017" t="str">
        <f t="shared" si="30"/>
        <v>Tipacoque, Boyacá, 1581</v>
      </c>
    </row>
    <row r="1018" spans="1:7" x14ac:dyDescent="0.25">
      <c r="A1018" t="s">
        <v>56</v>
      </c>
      <c r="B1018">
        <v>13</v>
      </c>
      <c r="C1018" t="s">
        <v>154</v>
      </c>
      <c r="D1018">
        <v>13.81</v>
      </c>
      <c r="E1018" t="str">
        <f t="shared" si="31"/>
        <v>1381</v>
      </c>
      <c r="F1018" t="s">
        <v>182</v>
      </c>
      <c r="G1018" t="str">
        <f t="shared" si="30"/>
        <v>Tiquisio, Bolívar, 1381</v>
      </c>
    </row>
    <row r="1019" spans="1:7" x14ac:dyDescent="0.25">
      <c r="A1019" t="s">
        <v>5</v>
      </c>
      <c r="B1019">
        <v>5</v>
      </c>
      <c r="C1019" t="s">
        <v>6</v>
      </c>
      <c r="D1019">
        <v>5.8090000000000002</v>
      </c>
      <c r="E1019" t="str">
        <f t="shared" si="31"/>
        <v>5809</v>
      </c>
      <c r="F1019" t="s">
        <v>123</v>
      </c>
      <c r="G1019" t="str">
        <f t="shared" si="30"/>
        <v>Titiribí, Antioquia, 5809</v>
      </c>
    </row>
    <row r="1020" spans="1:7" x14ac:dyDescent="0.25">
      <c r="A1020" t="s">
        <v>17</v>
      </c>
      <c r="B1020">
        <v>15</v>
      </c>
      <c r="C1020" t="s">
        <v>18</v>
      </c>
      <c r="D1020">
        <v>15.814</v>
      </c>
      <c r="E1020" t="str">
        <f t="shared" si="31"/>
        <v>15814</v>
      </c>
      <c r="F1020" t="s">
        <v>281</v>
      </c>
      <c r="G1020" t="str">
        <f t="shared" si="30"/>
        <v>Toca, Boyacá, 15814</v>
      </c>
    </row>
    <row r="1021" spans="1:7" x14ac:dyDescent="0.25">
      <c r="A1021" t="s">
        <v>17</v>
      </c>
      <c r="B1021">
        <v>25</v>
      </c>
      <c r="C1021" t="s">
        <v>409</v>
      </c>
      <c r="D1021">
        <v>25.815000000000001</v>
      </c>
      <c r="E1021" t="str">
        <f t="shared" si="31"/>
        <v>25815</v>
      </c>
      <c r="F1021" t="s">
        <v>491</v>
      </c>
      <c r="G1021" t="str">
        <f t="shared" si="30"/>
        <v>Tocaima, Cundinamarca, 25815</v>
      </c>
    </row>
    <row r="1022" spans="1:7" x14ac:dyDescent="0.25">
      <c r="A1022" t="s">
        <v>17</v>
      </c>
      <c r="B1022">
        <v>25</v>
      </c>
      <c r="C1022" t="s">
        <v>409</v>
      </c>
      <c r="D1022">
        <v>25.817</v>
      </c>
      <c r="E1022" t="str">
        <f t="shared" si="31"/>
        <v>25817</v>
      </c>
      <c r="F1022" t="s">
        <v>492</v>
      </c>
      <c r="G1022" t="str">
        <f t="shared" si="30"/>
        <v>Tocancipá, Cundinamarca, 25817</v>
      </c>
    </row>
    <row r="1023" spans="1:7" x14ac:dyDescent="0.25">
      <c r="A1023" t="s">
        <v>17</v>
      </c>
      <c r="B1023">
        <v>15</v>
      </c>
      <c r="C1023" t="s">
        <v>18</v>
      </c>
      <c r="D1023">
        <v>15.816000000000001</v>
      </c>
      <c r="E1023" t="str">
        <f t="shared" si="31"/>
        <v>15816</v>
      </c>
      <c r="F1023" t="s">
        <v>863</v>
      </c>
      <c r="G1023" t="str">
        <f t="shared" si="30"/>
        <v>Togüí, Boyacá, 15816</v>
      </c>
    </row>
    <row r="1024" spans="1:7" x14ac:dyDescent="0.25">
      <c r="A1024" t="s">
        <v>5</v>
      </c>
      <c r="B1024">
        <v>5</v>
      </c>
      <c r="C1024" t="s">
        <v>6</v>
      </c>
      <c r="D1024">
        <v>5.819</v>
      </c>
      <c r="E1024" t="str">
        <f t="shared" si="31"/>
        <v>5819</v>
      </c>
      <c r="F1024" t="s">
        <v>124</v>
      </c>
      <c r="G1024" t="str">
        <f t="shared" si="30"/>
        <v>Toledo, Antioquia, 5819</v>
      </c>
    </row>
    <row r="1025" spans="1:7" x14ac:dyDescent="0.25">
      <c r="A1025" t="s">
        <v>17</v>
      </c>
      <c r="B1025">
        <v>54</v>
      </c>
      <c r="C1025" t="s">
        <v>939</v>
      </c>
      <c r="D1025">
        <v>54.82</v>
      </c>
      <c r="E1025" t="str">
        <f t="shared" si="31"/>
        <v>5482</v>
      </c>
      <c r="F1025" t="s">
        <v>124</v>
      </c>
      <c r="G1025" t="str">
        <f t="shared" si="30"/>
        <v>Toledo, Norte de Santander, 5482</v>
      </c>
    </row>
    <row r="1026" spans="1:7" x14ac:dyDescent="0.25">
      <c r="A1026" t="s">
        <v>56</v>
      </c>
      <c r="B1026">
        <v>70</v>
      </c>
      <c r="C1026" t="s">
        <v>356</v>
      </c>
      <c r="D1026">
        <v>70.822999999999993</v>
      </c>
      <c r="E1026" t="str">
        <f t="shared" si="31"/>
        <v>70823</v>
      </c>
      <c r="F1026" t="s">
        <v>756</v>
      </c>
      <c r="G1026" t="str">
        <f t="shared" ref="G1026:G1089" si="32">_xlfn.CONCAT(F1026,", ",C1026,", ",E1026)</f>
        <v>Tolú Viejo, Sucre, 70823</v>
      </c>
    </row>
    <row r="1027" spans="1:7" x14ac:dyDescent="0.25">
      <c r="A1027" t="s">
        <v>17</v>
      </c>
      <c r="B1027">
        <v>68</v>
      </c>
      <c r="C1027" t="s">
        <v>104</v>
      </c>
      <c r="D1027">
        <v>68.819999999999993</v>
      </c>
      <c r="E1027" t="str">
        <f t="shared" ref="E1027:E1090" si="33">SUBSTITUTE(D1027, ".", "",1)</f>
        <v>6882</v>
      </c>
      <c r="F1027" t="s">
        <v>736</v>
      </c>
      <c r="G1027" t="str">
        <f t="shared" si="32"/>
        <v>Tona, Santander, 6882</v>
      </c>
    </row>
    <row r="1028" spans="1:7" x14ac:dyDescent="0.25">
      <c r="A1028" t="s">
        <v>17</v>
      </c>
      <c r="B1028">
        <v>15</v>
      </c>
      <c r="C1028" t="s">
        <v>18</v>
      </c>
      <c r="D1028">
        <v>15.82</v>
      </c>
      <c r="E1028" t="str">
        <f t="shared" si="33"/>
        <v>1582</v>
      </c>
      <c r="F1028" t="s">
        <v>282</v>
      </c>
      <c r="G1028" t="str">
        <f t="shared" si="32"/>
        <v>Tópaga, Boyacá, 1582</v>
      </c>
    </row>
    <row r="1029" spans="1:7" x14ac:dyDescent="0.25">
      <c r="A1029" t="s">
        <v>17</v>
      </c>
      <c r="B1029">
        <v>25</v>
      </c>
      <c r="C1029" t="s">
        <v>409</v>
      </c>
      <c r="D1029">
        <v>25.823</v>
      </c>
      <c r="E1029" t="str">
        <f t="shared" si="33"/>
        <v>25823</v>
      </c>
      <c r="F1029" t="s">
        <v>493</v>
      </c>
      <c r="G1029" t="str">
        <f t="shared" si="32"/>
        <v>Topaipí, Cundinamarca, 25823</v>
      </c>
    </row>
    <row r="1030" spans="1:7" x14ac:dyDescent="0.25">
      <c r="A1030" t="s">
        <v>62</v>
      </c>
      <c r="B1030">
        <v>19</v>
      </c>
      <c r="C1030" t="s">
        <v>327</v>
      </c>
      <c r="D1030">
        <v>19.821000000000002</v>
      </c>
      <c r="E1030" t="str">
        <f t="shared" si="33"/>
        <v>19821</v>
      </c>
      <c r="F1030" t="s">
        <v>359</v>
      </c>
      <c r="G1030" t="str">
        <f t="shared" si="32"/>
        <v>Toribio, Cauca, 19821</v>
      </c>
    </row>
    <row r="1031" spans="1:7" x14ac:dyDescent="0.25">
      <c r="A1031" t="s">
        <v>62</v>
      </c>
      <c r="B1031">
        <v>76</v>
      </c>
      <c r="C1031" t="s">
        <v>942</v>
      </c>
      <c r="D1031">
        <v>76.822999999999993</v>
      </c>
      <c r="E1031" t="str">
        <f t="shared" si="33"/>
        <v>76823</v>
      </c>
      <c r="F1031" t="s">
        <v>999</v>
      </c>
      <c r="G1031" t="str">
        <f t="shared" si="32"/>
        <v>Toro, Valle del Cauca, 76823</v>
      </c>
    </row>
    <row r="1032" spans="1:7" x14ac:dyDescent="0.25">
      <c r="A1032" t="s">
        <v>17</v>
      </c>
      <c r="B1032">
        <v>15</v>
      </c>
      <c r="C1032" t="s">
        <v>18</v>
      </c>
      <c r="D1032">
        <v>15.821999999999999</v>
      </c>
      <c r="E1032" t="str">
        <f t="shared" si="33"/>
        <v>15822</v>
      </c>
      <c r="F1032" t="s">
        <v>283</v>
      </c>
      <c r="G1032" t="str">
        <f t="shared" si="32"/>
        <v>Tota, Boyacá, 15822</v>
      </c>
    </row>
    <row r="1033" spans="1:7" x14ac:dyDescent="0.25">
      <c r="A1033" t="s">
        <v>62</v>
      </c>
      <c r="B1033">
        <v>19</v>
      </c>
      <c r="C1033" t="s">
        <v>327</v>
      </c>
      <c r="D1033">
        <v>19.824000000000002</v>
      </c>
      <c r="E1033" t="str">
        <f t="shared" si="33"/>
        <v>19824</v>
      </c>
      <c r="F1033" t="s">
        <v>360</v>
      </c>
      <c r="G1033" t="str">
        <f t="shared" si="32"/>
        <v>Totoró, Cauca, 19824</v>
      </c>
    </row>
    <row r="1034" spans="1:7" x14ac:dyDescent="0.25">
      <c r="A1034" t="s">
        <v>117</v>
      </c>
      <c r="B1034">
        <v>85</v>
      </c>
      <c r="C1034" t="s">
        <v>802</v>
      </c>
      <c r="D1034">
        <v>85.43</v>
      </c>
      <c r="E1034" t="str">
        <f t="shared" si="33"/>
        <v>8543</v>
      </c>
      <c r="F1034" t="s">
        <v>813</v>
      </c>
      <c r="G1034" t="str">
        <f t="shared" si="32"/>
        <v>Trinidad, Casanare, 8543</v>
      </c>
    </row>
    <row r="1035" spans="1:7" x14ac:dyDescent="0.25">
      <c r="A1035" t="s">
        <v>62</v>
      </c>
      <c r="B1035">
        <v>76</v>
      </c>
      <c r="C1035" t="s">
        <v>942</v>
      </c>
      <c r="D1035">
        <v>76.828000000000003</v>
      </c>
      <c r="E1035" t="str">
        <f t="shared" si="33"/>
        <v>76828</v>
      </c>
      <c r="F1035" t="s">
        <v>1002</v>
      </c>
      <c r="G1035" t="str">
        <f t="shared" si="32"/>
        <v>Trujillo, Valle del Cauca, 76828</v>
      </c>
    </row>
    <row r="1036" spans="1:7" x14ac:dyDescent="0.25">
      <c r="A1036" t="s">
        <v>56</v>
      </c>
      <c r="B1036">
        <v>8</v>
      </c>
      <c r="C1036" t="s">
        <v>137</v>
      </c>
      <c r="D1036">
        <v>8.8320000000000007</v>
      </c>
      <c r="E1036" t="str">
        <f t="shared" si="33"/>
        <v>8832</v>
      </c>
      <c r="F1036" t="s">
        <v>152</v>
      </c>
      <c r="G1036" t="str">
        <f t="shared" si="32"/>
        <v>Tubará, Atlántico, 8832</v>
      </c>
    </row>
    <row r="1037" spans="1:7" x14ac:dyDescent="0.25">
      <c r="A1037" t="s">
        <v>56</v>
      </c>
      <c r="B1037">
        <v>23</v>
      </c>
      <c r="C1037" t="s">
        <v>57</v>
      </c>
      <c r="D1037">
        <v>23.815000000000001</v>
      </c>
      <c r="E1037" t="str">
        <f t="shared" si="33"/>
        <v>23815</v>
      </c>
      <c r="F1037" t="s">
        <v>407</v>
      </c>
      <c r="G1037" t="str">
        <f t="shared" si="32"/>
        <v>Tuchín, Córdoba, 23815</v>
      </c>
    </row>
    <row r="1038" spans="1:7" x14ac:dyDescent="0.25">
      <c r="A1038" t="s">
        <v>62</v>
      </c>
      <c r="B1038">
        <v>76</v>
      </c>
      <c r="C1038" t="s">
        <v>942</v>
      </c>
      <c r="D1038">
        <v>76.834000000000003</v>
      </c>
      <c r="E1038" t="str">
        <f t="shared" si="33"/>
        <v>76834</v>
      </c>
      <c r="F1038" t="s">
        <v>1013</v>
      </c>
      <c r="G1038" t="str">
        <f t="shared" si="32"/>
        <v>Tuluá, Valle del Cauca, 76834</v>
      </c>
    </row>
    <row r="1039" spans="1:7" x14ac:dyDescent="0.25">
      <c r="A1039" t="s">
        <v>17</v>
      </c>
      <c r="B1039">
        <v>15</v>
      </c>
      <c r="C1039" t="s">
        <v>18</v>
      </c>
      <c r="D1039">
        <v>15.000999999999999</v>
      </c>
      <c r="E1039" t="str">
        <f t="shared" si="33"/>
        <v>15001</v>
      </c>
      <c r="F1039" t="s">
        <v>186</v>
      </c>
      <c r="G1039" t="str">
        <f t="shared" si="32"/>
        <v>Tunja, Boyacá, 15001</v>
      </c>
    </row>
    <row r="1040" spans="1:7" x14ac:dyDescent="0.25">
      <c r="A1040" t="s">
        <v>17</v>
      </c>
      <c r="B1040">
        <v>15</v>
      </c>
      <c r="C1040" t="s">
        <v>18</v>
      </c>
      <c r="D1040">
        <v>15.832000000000001</v>
      </c>
      <c r="E1040" t="str">
        <f t="shared" si="33"/>
        <v>15832</v>
      </c>
      <c r="F1040" t="s">
        <v>19</v>
      </c>
      <c r="G1040" t="str">
        <f t="shared" si="32"/>
        <v>Tununguá, Boyacá, 15832</v>
      </c>
    </row>
    <row r="1041" spans="1:7" x14ac:dyDescent="0.25">
      <c r="A1041" t="s">
        <v>62</v>
      </c>
      <c r="B1041">
        <v>52</v>
      </c>
      <c r="C1041" t="s">
        <v>84</v>
      </c>
      <c r="D1041">
        <v>52.838000000000001</v>
      </c>
      <c r="E1041" t="str">
        <f t="shared" si="33"/>
        <v>52838</v>
      </c>
      <c r="F1041" t="s">
        <v>658</v>
      </c>
      <c r="G1041" t="str">
        <f t="shared" si="32"/>
        <v>Túquerres, Nariño, 52838</v>
      </c>
    </row>
    <row r="1042" spans="1:7" x14ac:dyDescent="0.25">
      <c r="A1042" t="s">
        <v>56</v>
      </c>
      <c r="B1042">
        <v>13</v>
      </c>
      <c r="C1042" t="s">
        <v>154</v>
      </c>
      <c r="D1042">
        <v>13.836</v>
      </c>
      <c r="E1042" t="str">
        <f t="shared" si="33"/>
        <v>13836</v>
      </c>
      <c r="F1042" t="s">
        <v>183</v>
      </c>
      <c r="G1042" t="str">
        <f t="shared" si="32"/>
        <v>Turbaco, Bolívar, 13836</v>
      </c>
    </row>
    <row r="1043" spans="1:7" x14ac:dyDescent="0.25">
      <c r="A1043" t="s">
        <v>56</v>
      </c>
      <c r="B1043">
        <v>13</v>
      </c>
      <c r="C1043" t="s">
        <v>154</v>
      </c>
      <c r="D1043">
        <v>13.837999999999999</v>
      </c>
      <c r="E1043" t="str">
        <f t="shared" si="33"/>
        <v>13838</v>
      </c>
      <c r="F1043" t="s">
        <v>184</v>
      </c>
      <c r="G1043" t="str">
        <f t="shared" si="32"/>
        <v>Turbaná, Bolívar, 13838</v>
      </c>
    </row>
    <row r="1044" spans="1:7" x14ac:dyDescent="0.25">
      <c r="A1044" t="s">
        <v>5</v>
      </c>
      <c r="B1044">
        <v>5</v>
      </c>
      <c r="C1044" t="s">
        <v>6</v>
      </c>
      <c r="D1044">
        <v>5.8369999999999997</v>
      </c>
      <c r="E1044" t="str">
        <f t="shared" si="33"/>
        <v>5837</v>
      </c>
      <c r="F1044" t="s">
        <v>125</v>
      </c>
      <c r="G1044" t="str">
        <f t="shared" si="32"/>
        <v>Turbo, Antioquia, 5837</v>
      </c>
    </row>
    <row r="1045" spans="1:7" x14ac:dyDescent="0.25">
      <c r="A1045" t="s">
        <v>17</v>
      </c>
      <c r="B1045">
        <v>15</v>
      </c>
      <c r="C1045" t="s">
        <v>18</v>
      </c>
      <c r="D1045">
        <v>15.835000000000001</v>
      </c>
      <c r="E1045" t="str">
        <f t="shared" si="33"/>
        <v>15835</v>
      </c>
      <c r="F1045" t="s">
        <v>284</v>
      </c>
      <c r="G1045" t="str">
        <f t="shared" si="32"/>
        <v>Turmequé, Boyacá, 15835</v>
      </c>
    </row>
    <row r="1046" spans="1:7" x14ac:dyDescent="0.25">
      <c r="A1046" t="s">
        <v>17</v>
      </c>
      <c r="B1046">
        <v>15</v>
      </c>
      <c r="C1046" t="s">
        <v>18</v>
      </c>
      <c r="D1046">
        <v>15.837</v>
      </c>
      <c r="E1046" t="str">
        <f t="shared" si="33"/>
        <v>15837</v>
      </c>
      <c r="F1046" t="s">
        <v>938</v>
      </c>
      <c r="G1046" t="str">
        <f t="shared" si="32"/>
        <v>Tuta, Boyacá, 15837</v>
      </c>
    </row>
    <row r="1047" spans="1:7" x14ac:dyDescent="0.25">
      <c r="A1047" t="s">
        <v>17</v>
      </c>
      <c r="B1047">
        <v>15</v>
      </c>
      <c r="C1047" t="s">
        <v>18</v>
      </c>
      <c r="D1047">
        <v>15.839</v>
      </c>
      <c r="E1047" t="str">
        <f t="shared" si="33"/>
        <v>15839</v>
      </c>
      <c r="F1047" t="s">
        <v>285</v>
      </c>
      <c r="G1047" t="str">
        <f t="shared" si="32"/>
        <v>Tutazá, Boyacá, 15839</v>
      </c>
    </row>
    <row r="1048" spans="1:7" x14ac:dyDescent="0.25">
      <c r="A1048" t="s">
        <v>17</v>
      </c>
      <c r="B1048">
        <v>25</v>
      </c>
      <c r="C1048" t="s">
        <v>409</v>
      </c>
      <c r="D1048">
        <v>25.838999999999999</v>
      </c>
      <c r="E1048" t="str">
        <f t="shared" si="33"/>
        <v>25839</v>
      </c>
      <c r="F1048" t="s">
        <v>494</v>
      </c>
      <c r="G1048" t="str">
        <f t="shared" si="32"/>
        <v>Ubalá, Cundinamarca, 25839</v>
      </c>
    </row>
    <row r="1049" spans="1:7" x14ac:dyDescent="0.25">
      <c r="A1049" t="s">
        <v>17</v>
      </c>
      <c r="B1049">
        <v>25</v>
      </c>
      <c r="C1049" t="s">
        <v>409</v>
      </c>
      <c r="D1049">
        <v>25.841000000000001</v>
      </c>
      <c r="E1049" t="str">
        <f t="shared" si="33"/>
        <v>25841</v>
      </c>
      <c r="F1049" t="s">
        <v>495</v>
      </c>
      <c r="G1049" t="str">
        <f t="shared" si="32"/>
        <v>Ubaque, Cundinamarca, 25841</v>
      </c>
    </row>
    <row r="1050" spans="1:7" x14ac:dyDescent="0.25">
      <c r="A1050" t="s">
        <v>62</v>
      </c>
      <c r="B1050">
        <v>76</v>
      </c>
      <c r="C1050" t="s">
        <v>942</v>
      </c>
      <c r="D1050">
        <v>76.844999999999999</v>
      </c>
      <c r="E1050" t="str">
        <f t="shared" si="33"/>
        <v>76845</v>
      </c>
      <c r="F1050" t="s">
        <v>1001</v>
      </c>
      <c r="G1050" t="str">
        <f t="shared" si="32"/>
        <v>Ulloa, Valle del Cauca, 76845</v>
      </c>
    </row>
    <row r="1051" spans="1:7" x14ac:dyDescent="0.25">
      <c r="A1051" t="s">
        <v>17</v>
      </c>
      <c r="B1051">
        <v>15</v>
      </c>
      <c r="C1051" t="s">
        <v>18</v>
      </c>
      <c r="D1051">
        <v>15.842000000000001</v>
      </c>
      <c r="E1051" t="str">
        <f t="shared" si="33"/>
        <v>15842</v>
      </c>
      <c r="F1051" t="s">
        <v>286</v>
      </c>
      <c r="G1051" t="str">
        <f t="shared" si="32"/>
        <v>Umbita, Boyacá, 15842</v>
      </c>
    </row>
    <row r="1052" spans="1:7" x14ac:dyDescent="0.25">
      <c r="A1052" t="s">
        <v>17</v>
      </c>
      <c r="B1052">
        <v>25</v>
      </c>
      <c r="C1052" t="s">
        <v>409</v>
      </c>
      <c r="D1052">
        <v>25.844999999999999</v>
      </c>
      <c r="E1052" t="str">
        <f t="shared" si="33"/>
        <v>25845</v>
      </c>
      <c r="F1052" t="s">
        <v>496</v>
      </c>
      <c r="G1052" t="str">
        <f t="shared" si="32"/>
        <v>Une, Cundinamarca, 25845</v>
      </c>
    </row>
    <row r="1053" spans="1:7" x14ac:dyDescent="0.25">
      <c r="A1053" t="s">
        <v>62</v>
      </c>
      <c r="B1053">
        <v>27</v>
      </c>
      <c r="C1053" t="s">
        <v>63</v>
      </c>
      <c r="D1053">
        <v>27.8</v>
      </c>
      <c r="E1053" t="str">
        <f t="shared" si="33"/>
        <v>278</v>
      </c>
      <c r="F1053" t="s">
        <v>524</v>
      </c>
      <c r="G1053" t="str">
        <f t="shared" si="32"/>
        <v>Unguía, Chocó, 278</v>
      </c>
    </row>
    <row r="1054" spans="1:7" x14ac:dyDescent="0.25">
      <c r="A1054" t="s">
        <v>62</v>
      </c>
      <c r="B1054">
        <v>27</v>
      </c>
      <c r="C1054" t="s">
        <v>63</v>
      </c>
      <c r="D1054">
        <v>27.81</v>
      </c>
      <c r="E1054" t="str">
        <f t="shared" si="33"/>
        <v>2781</v>
      </c>
      <c r="F1054" t="s">
        <v>1059</v>
      </c>
      <c r="G1054" t="str">
        <f t="shared" si="32"/>
        <v>Unión Panamericana, Chocó, 2781</v>
      </c>
    </row>
    <row r="1055" spans="1:7" x14ac:dyDescent="0.25">
      <c r="A1055" t="s">
        <v>5</v>
      </c>
      <c r="B1055">
        <v>5</v>
      </c>
      <c r="C1055" t="s">
        <v>6</v>
      </c>
      <c r="D1055">
        <v>5.8419999999999996</v>
      </c>
      <c r="E1055" t="str">
        <f t="shared" si="33"/>
        <v>5842</v>
      </c>
      <c r="F1055" t="s">
        <v>126</v>
      </c>
      <c r="G1055" t="str">
        <f t="shared" si="32"/>
        <v>Uramita, Antioquia, 5842</v>
      </c>
    </row>
    <row r="1056" spans="1:7" x14ac:dyDescent="0.25">
      <c r="A1056" t="s">
        <v>117</v>
      </c>
      <c r="B1056">
        <v>50</v>
      </c>
      <c r="C1056" t="s">
        <v>118</v>
      </c>
      <c r="D1056">
        <v>50.37</v>
      </c>
      <c r="E1056" t="str">
        <f t="shared" si="33"/>
        <v>5037</v>
      </c>
      <c r="F1056" t="s">
        <v>119</v>
      </c>
      <c r="G1056" t="str">
        <f t="shared" si="32"/>
        <v>Uribe, Meta, 5037</v>
      </c>
    </row>
    <row r="1057" spans="1:7" x14ac:dyDescent="0.25">
      <c r="A1057" t="s">
        <v>56</v>
      </c>
      <c r="B1057">
        <v>44</v>
      </c>
      <c r="C1057" t="s">
        <v>559</v>
      </c>
      <c r="D1057">
        <v>44.847000000000001</v>
      </c>
      <c r="E1057" t="str">
        <f t="shared" si="33"/>
        <v>44847</v>
      </c>
      <c r="F1057" t="s">
        <v>568</v>
      </c>
      <c r="G1057" t="str">
        <f t="shared" si="32"/>
        <v>Uribia, La Guajira, 44847</v>
      </c>
    </row>
    <row r="1058" spans="1:7" x14ac:dyDescent="0.25">
      <c r="A1058" t="s">
        <v>5</v>
      </c>
      <c r="B1058">
        <v>5</v>
      </c>
      <c r="C1058" t="s">
        <v>6</v>
      </c>
      <c r="D1058">
        <v>5.8470000000000004</v>
      </c>
      <c r="E1058" t="str">
        <f t="shared" si="33"/>
        <v>5847</v>
      </c>
      <c r="F1058" t="s">
        <v>127</v>
      </c>
      <c r="G1058" t="str">
        <f t="shared" si="32"/>
        <v>Urrao, Antioquia, 5847</v>
      </c>
    </row>
    <row r="1059" spans="1:7" x14ac:dyDescent="0.25">
      <c r="A1059" t="s">
        <v>56</v>
      </c>
      <c r="B1059">
        <v>44</v>
      </c>
      <c r="C1059" t="s">
        <v>559</v>
      </c>
      <c r="D1059">
        <v>44.854999999999997</v>
      </c>
      <c r="E1059" t="str">
        <f t="shared" si="33"/>
        <v>44855</v>
      </c>
      <c r="F1059" t="s">
        <v>569</v>
      </c>
      <c r="G1059" t="str">
        <f t="shared" si="32"/>
        <v>Urumita, La Guajira, 44855</v>
      </c>
    </row>
    <row r="1060" spans="1:7" x14ac:dyDescent="0.25">
      <c r="A1060" t="s">
        <v>56</v>
      </c>
      <c r="B1060">
        <v>8</v>
      </c>
      <c r="C1060" t="s">
        <v>137</v>
      </c>
      <c r="D1060">
        <v>8.8490000000000002</v>
      </c>
      <c r="E1060" t="str">
        <f t="shared" si="33"/>
        <v>8849</v>
      </c>
      <c r="F1060" t="s">
        <v>153</v>
      </c>
      <c r="G1060" t="str">
        <f t="shared" si="32"/>
        <v>Usiacurí, Atlántico, 8849</v>
      </c>
    </row>
    <row r="1061" spans="1:7" x14ac:dyDescent="0.25">
      <c r="A1061" t="s">
        <v>17</v>
      </c>
      <c r="B1061">
        <v>25</v>
      </c>
      <c r="C1061" t="s">
        <v>409</v>
      </c>
      <c r="D1061">
        <v>25.850999999999999</v>
      </c>
      <c r="E1061" t="str">
        <f t="shared" si="33"/>
        <v>25851</v>
      </c>
      <c r="F1061" t="s">
        <v>497</v>
      </c>
      <c r="G1061" t="str">
        <f t="shared" si="32"/>
        <v>Útica, Cundinamarca, 25851</v>
      </c>
    </row>
    <row r="1062" spans="1:7" x14ac:dyDescent="0.25">
      <c r="A1062" t="s">
        <v>5</v>
      </c>
      <c r="B1062">
        <v>5</v>
      </c>
      <c r="C1062" t="s">
        <v>6</v>
      </c>
      <c r="D1062">
        <v>5.8540000000000001</v>
      </c>
      <c r="E1062" t="str">
        <f t="shared" si="33"/>
        <v>5854</v>
      </c>
      <c r="F1062" t="s">
        <v>128</v>
      </c>
      <c r="G1062" t="str">
        <f t="shared" si="32"/>
        <v>Valdivia, Antioquia, 5854</v>
      </c>
    </row>
    <row r="1063" spans="1:7" x14ac:dyDescent="0.25">
      <c r="A1063" t="s">
        <v>56</v>
      </c>
      <c r="B1063">
        <v>23</v>
      </c>
      <c r="C1063" t="s">
        <v>57</v>
      </c>
      <c r="D1063">
        <v>23.855</v>
      </c>
      <c r="E1063" t="str">
        <f t="shared" si="33"/>
        <v>23855</v>
      </c>
      <c r="F1063" t="s">
        <v>408</v>
      </c>
      <c r="G1063" t="str">
        <f t="shared" si="32"/>
        <v>Valencia, Córdoba, 23855</v>
      </c>
    </row>
    <row r="1064" spans="1:7" x14ac:dyDescent="0.25">
      <c r="A1064" t="s">
        <v>316</v>
      </c>
      <c r="B1064">
        <v>86</v>
      </c>
      <c r="C1064" t="s">
        <v>814</v>
      </c>
      <c r="D1064">
        <v>86.864999999999995</v>
      </c>
      <c r="E1064" t="str">
        <f t="shared" si="33"/>
        <v>86865</v>
      </c>
      <c r="F1064" t="s">
        <v>917</v>
      </c>
      <c r="G1064" t="str">
        <f t="shared" si="32"/>
        <v>Valle de Guamez, Putumayo, 86865</v>
      </c>
    </row>
    <row r="1065" spans="1:7" x14ac:dyDescent="0.25">
      <c r="A1065" t="s">
        <v>17</v>
      </c>
      <c r="B1065">
        <v>68</v>
      </c>
      <c r="C1065" t="s">
        <v>104</v>
      </c>
      <c r="D1065">
        <v>68.855000000000004</v>
      </c>
      <c r="E1065" t="str">
        <f t="shared" si="33"/>
        <v>68855</v>
      </c>
      <c r="F1065" t="s">
        <v>928</v>
      </c>
      <c r="G1065" t="str">
        <f t="shared" si="32"/>
        <v>Valle de San José, Santander, 68855</v>
      </c>
    </row>
    <row r="1066" spans="1:7" x14ac:dyDescent="0.25">
      <c r="A1066" t="s">
        <v>316</v>
      </c>
      <c r="B1066">
        <v>73</v>
      </c>
      <c r="C1066" t="s">
        <v>757</v>
      </c>
      <c r="D1066">
        <v>73.853999999999999</v>
      </c>
      <c r="E1066" t="str">
        <f t="shared" si="33"/>
        <v>73854</v>
      </c>
      <c r="F1066" t="s">
        <v>882</v>
      </c>
      <c r="G1066" t="str">
        <f t="shared" si="32"/>
        <v>Valle de San Juan, Tolima, 73854</v>
      </c>
    </row>
    <row r="1067" spans="1:7" x14ac:dyDescent="0.25">
      <c r="A1067" t="s">
        <v>56</v>
      </c>
      <c r="B1067">
        <v>20</v>
      </c>
      <c r="C1067" t="s">
        <v>362</v>
      </c>
      <c r="D1067">
        <v>20.001000000000001</v>
      </c>
      <c r="E1067" t="str">
        <f t="shared" si="33"/>
        <v>20001</v>
      </c>
      <c r="F1067" t="s">
        <v>363</v>
      </c>
      <c r="G1067" t="str">
        <f t="shared" si="32"/>
        <v>Valledupar, Cesar, 20001</v>
      </c>
    </row>
    <row r="1068" spans="1:7" x14ac:dyDescent="0.25">
      <c r="A1068" t="s">
        <v>5</v>
      </c>
      <c r="B1068">
        <v>5</v>
      </c>
      <c r="C1068" t="s">
        <v>6</v>
      </c>
      <c r="D1068">
        <v>5.8559999999999999</v>
      </c>
      <c r="E1068" t="str">
        <f t="shared" si="33"/>
        <v>5856</v>
      </c>
      <c r="F1068" t="s">
        <v>129</v>
      </c>
      <c r="G1068" t="str">
        <f t="shared" si="32"/>
        <v>Valparaíso, Antioquia, 5856</v>
      </c>
    </row>
    <row r="1069" spans="1:7" x14ac:dyDescent="0.25">
      <c r="A1069" t="s">
        <v>316</v>
      </c>
      <c r="B1069">
        <v>18</v>
      </c>
      <c r="C1069" t="s">
        <v>317</v>
      </c>
      <c r="D1069">
        <v>18.86</v>
      </c>
      <c r="E1069" t="str">
        <f t="shared" si="33"/>
        <v>1886</v>
      </c>
      <c r="F1069" t="s">
        <v>129</v>
      </c>
      <c r="G1069" t="str">
        <f t="shared" si="32"/>
        <v>Valparaíso, Caquetá, 1886</v>
      </c>
    </row>
    <row r="1070" spans="1:7" x14ac:dyDescent="0.25">
      <c r="A1070" t="s">
        <v>5</v>
      </c>
      <c r="B1070">
        <v>5</v>
      </c>
      <c r="C1070" t="s">
        <v>6</v>
      </c>
      <c r="D1070">
        <v>5.8579999999999997</v>
      </c>
      <c r="E1070" t="str">
        <f t="shared" si="33"/>
        <v>5858</v>
      </c>
      <c r="F1070" t="s">
        <v>130</v>
      </c>
      <c r="G1070" t="str">
        <f t="shared" si="32"/>
        <v>Vegachí, Antioquia, 5858</v>
      </c>
    </row>
    <row r="1071" spans="1:7" x14ac:dyDescent="0.25">
      <c r="A1071" t="s">
        <v>17</v>
      </c>
      <c r="B1071">
        <v>68</v>
      </c>
      <c r="C1071" t="s">
        <v>104</v>
      </c>
      <c r="D1071">
        <v>68.861000000000004</v>
      </c>
      <c r="E1071" t="str">
        <f t="shared" si="33"/>
        <v>68861</v>
      </c>
      <c r="F1071" t="s">
        <v>737</v>
      </c>
      <c r="G1071" t="str">
        <f t="shared" si="32"/>
        <v>Vélez, Santander, 68861</v>
      </c>
    </row>
    <row r="1072" spans="1:7" x14ac:dyDescent="0.25">
      <c r="A1072" t="s">
        <v>316</v>
      </c>
      <c r="B1072">
        <v>73</v>
      </c>
      <c r="C1072" t="s">
        <v>757</v>
      </c>
      <c r="D1072">
        <v>73.861000000000004</v>
      </c>
      <c r="E1072" t="str">
        <f t="shared" si="33"/>
        <v>73861</v>
      </c>
      <c r="F1072" t="s">
        <v>792</v>
      </c>
      <c r="G1072" t="str">
        <f t="shared" si="32"/>
        <v>Venadillo, Tolima, 73861</v>
      </c>
    </row>
    <row r="1073" spans="1:7" x14ac:dyDescent="0.25">
      <c r="A1073" t="s">
        <v>5</v>
      </c>
      <c r="B1073">
        <v>5</v>
      </c>
      <c r="C1073" t="s">
        <v>6</v>
      </c>
      <c r="D1073">
        <v>5.8609999999999998</v>
      </c>
      <c r="E1073" t="str">
        <f t="shared" si="33"/>
        <v>5861</v>
      </c>
      <c r="F1073" t="s">
        <v>131</v>
      </c>
      <c r="G1073" t="str">
        <f t="shared" si="32"/>
        <v>Venecia, Antioquia, 5861</v>
      </c>
    </row>
    <row r="1074" spans="1:7" x14ac:dyDescent="0.25">
      <c r="A1074" t="s">
        <v>17</v>
      </c>
      <c r="B1074">
        <v>25</v>
      </c>
      <c r="C1074" t="s">
        <v>409</v>
      </c>
      <c r="D1074">
        <v>25.506</v>
      </c>
      <c r="E1074" t="str">
        <f t="shared" si="33"/>
        <v>25506</v>
      </c>
      <c r="F1074" t="s">
        <v>131</v>
      </c>
      <c r="G1074" t="str">
        <f t="shared" si="32"/>
        <v>Venecia, Cundinamarca, 25506</v>
      </c>
    </row>
    <row r="1075" spans="1:7" x14ac:dyDescent="0.25">
      <c r="A1075" t="s">
        <v>17</v>
      </c>
      <c r="B1075">
        <v>15</v>
      </c>
      <c r="C1075" t="s">
        <v>18</v>
      </c>
      <c r="D1075">
        <v>15.861000000000001</v>
      </c>
      <c r="E1075" t="str">
        <f t="shared" si="33"/>
        <v>15861</v>
      </c>
      <c r="F1075" t="s">
        <v>287</v>
      </c>
      <c r="G1075" t="str">
        <f t="shared" si="32"/>
        <v>Ventaquemada, Boyacá, 15861</v>
      </c>
    </row>
    <row r="1076" spans="1:7" x14ac:dyDescent="0.25">
      <c r="A1076" t="s">
        <v>17</v>
      </c>
      <c r="B1076">
        <v>25</v>
      </c>
      <c r="C1076" t="s">
        <v>409</v>
      </c>
      <c r="D1076">
        <v>25.861999999999998</v>
      </c>
      <c r="E1076" t="str">
        <f t="shared" si="33"/>
        <v>25862</v>
      </c>
      <c r="F1076" t="s">
        <v>932</v>
      </c>
      <c r="G1076" t="str">
        <f t="shared" si="32"/>
        <v>Vergara, Cundinamarca, 25862</v>
      </c>
    </row>
    <row r="1077" spans="1:7" x14ac:dyDescent="0.25">
      <c r="A1077" t="s">
        <v>62</v>
      </c>
      <c r="B1077">
        <v>76</v>
      </c>
      <c r="C1077" t="s">
        <v>942</v>
      </c>
      <c r="D1077">
        <v>76.863</v>
      </c>
      <c r="E1077" t="str">
        <f t="shared" si="33"/>
        <v>76863</v>
      </c>
      <c r="F1077" t="s">
        <v>993</v>
      </c>
      <c r="G1077" t="str">
        <f t="shared" si="32"/>
        <v>Versalles, Valle del Cauca, 76863</v>
      </c>
    </row>
    <row r="1078" spans="1:7" x14ac:dyDescent="0.25">
      <c r="A1078" t="s">
        <v>17</v>
      </c>
      <c r="B1078">
        <v>68</v>
      </c>
      <c r="C1078" t="s">
        <v>104</v>
      </c>
      <c r="D1078">
        <v>68.867000000000004</v>
      </c>
      <c r="E1078" t="str">
        <f t="shared" si="33"/>
        <v>68867</v>
      </c>
      <c r="F1078" t="s">
        <v>738</v>
      </c>
      <c r="G1078" t="str">
        <f t="shared" si="32"/>
        <v>Vetas, Santander, 68867</v>
      </c>
    </row>
    <row r="1079" spans="1:7" x14ac:dyDescent="0.25">
      <c r="A1079" t="s">
        <v>17</v>
      </c>
      <c r="B1079">
        <v>25</v>
      </c>
      <c r="C1079" t="s">
        <v>409</v>
      </c>
      <c r="D1079">
        <v>25.867000000000001</v>
      </c>
      <c r="E1079" t="str">
        <f t="shared" si="33"/>
        <v>25867</v>
      </c>
      <c r="F1079" t="s">
        <v>498</v>
      </c>
      <c r="G1079" t="str">
        <f t="shared" si="32"/>
        <v>Vianí, Cundinamarca, 25867</v>
      </c>
    </row>
    <row r="1080" spans="1:7" x14ac:dyDescent="0.25">
      <c r="A1080" t="s">
        <v>5</v>
      </c>
      <c r="B1080">
        <v>17</v>
      </c>
      <c r="C1080" t="s">
        <v>34</v>
      </c>
      <c r="D1080">
        <v>17.867000000000001</v>
      </c>
      <c r="E1080" t="str">
        <f t="shared" si="33"/>
        <v>17867</v>
      </c>
      <c r="F1080" t="s">
        <v>313</v>
      </c>
      <c r="G1080" t="str">
        <f t="shared" si="32"/>
        <v>Victoria, Caldas, 17867</v>
      </c>
    </row>
    <row r="1081" spans="1:7" x14ac:dyDescent="0.25">
      <c r="A1081" t="s">
        <v>5</v>
      </c>
      <c r="B1081">
        <v>5</v>
      </c>
      <c r="C1081" t="s">
        <v>6</v>
      </c>
      <c r="D1081">
        <v>5.8730000000000002</v>
      </c>
      <c r="E1081" t="str">
        <f t="shared" si="33"/>
        <v>5873</v>
      </c>
      <c r="F1081" t="s">
        <v>898</v>
      </c>
      <c r="G1081" t="str">
        <f t="shared" si="32"/>
        <v>Vigía del Fuerte, Antioquia, 5873</v>
      </c>
    </row>
    <row r="1082" spans="1:7" x14ac:dyDescent="0.25">
      <c r="A1082" t="s">
        <v>62</v>
      </c>
      <c r="B1082">
        <v>76</v>
      </c>
      <c r="C1082" t="s">
        <v>942</v>
      </c>
      <c r="D1082">
        <v>76.869</v>
      </c>
      <c r="E1082" t="str">
        <f t="shared" si="33"/>
        <v>76869</v>
      </c>
      <c r="F1082" t="s">
        <v>1003</v>
      </c>
      <c r="G1082" t="str">
        <f t="shared" si="32"/>
        <v>Vijes, Valle del Cauca, 76869</v>
      </c>
    </row>
    <row r="1083" spans="1:7" x14ac:dyDescent="0.25">
      <c r="A1083" t="s">
        <v>17</v>
      </c>
      <c r="B1083">
        <v>54</v>
      </c>
      <c r="C1083" t="s">
        <v>939</v>
      </c>
      <c r="D1083">
        <v>54.871000000000002</v>
      </c>
      <c r="E1083" t="str">
        <f t="shared" si="33"/>
        <v>54871</v>
      </c>
      <c r="F1083" t="s">
        <v>996</v>
      </c>
      <c r="G1083" t="str">
        <f t="shared" si="32"/>
        <v>Villa Caro, Norte de Santander, 54871</v>
      </c>
    </row>
    <row r="1084" spans="1:7" x14ac:dyDescent="0.25">
      <c r="A1084" t="s">
        <v>17</v>
      </c>
      <c r="B1084">
        <v>15</v>
      </c>
      <c r="C1084" t="s">
        <v>18</v>
      </c>
      <c r="D1084">
        <v>15.407</v>
      </c>
      <c r="E1084" t="str">
        <f t="shared" si="33"/>
        <v>15407</v>
      </c>
      <c r="F1084" t="s">
        <v>866</v>
      </c>
      <c r="G1084" t="str">
        <f t="shared" si="32"/>
        <v>Villa de Leyva, Boyacá, 15407</v>
      </c>
    </row>
    <row r="1085" spans="1:7" x14ac:dyDescent="0.25">
      <c r="A1085" t="s">
        <v>17</v>
      </c>
      <c r="B1085">
        <v>25</v>
      </c>
      <c r="C1085" t="s">
        <v>409</v>
      </c>
      <c r="D1085">
        <v>25.843</v>
      </c>
      <c r="E1085" t="str">
        <f t="shared" si="33"/>
        <v>25843</v>
      </c>
      <c r="F1085" t="s">
        <v>861</v>
      </c>
      <c r="G1085" t="str">
        <f t="shared" si="32"/>
        <v>Villa de San Diego de Ubate, Cundinamarca, 25843</v>
      </c>
    </row>
    <row r="1086" spans="1:7" x14ac:dyDescent="0.25">
      <c r="A1086" t="s">
        <v>17</v>
      </c>
      <c r="B1086">
        <v>54</v>
      </c>
      <c r="C1086" t="s">
        <v>939</v>
      </c>
      <c r="D1086">
        <v>54.874000000000002</v>
      </c>
      <c r="E1086" t="str">
        <f t="shared" si="33"/>
        <v>54874</v>
      </c>
      <c r="F1086" t="s">
        <v>979</v>
      </c>
      <c r="G1086" t="str">
        <f t="shared" si="32"/>
        <v>Villa del Rosario, Norte de Santander, 54874</v>
      </c>
    </row>
    <row r="1087" spans="1:7" x14ac:dyDescent="0.25">
      <c r="A1087" t="s">
        <v>62</v>
      </c>
      <c r="B1087">
        <v>19</v>
      </c>
      <c r="C1087" t="s">
        <v>327</v>
      </c>
      <c r="D1087">
        <v>19.844999999999999</v>
      </c>
      <c r="E1087" t="str">
        <f t="shared" si="33"/>
        <v>19845</v>
      </c>
      <c r="F1087" t="s">
        <v>361</v>
      </c>
      <c r="G1087" t="str">
        <f t="shared" si="32"/>
        <v>Villa Rica, Cauca, 19845</v>
      </c>
    </row>
    <row r="1088" spans="1:7" x14ac:dyDescent="0.25">
      <c r="A1088" t="s">
        <v>316</v>
      </c>
      <c r="B1088">
        <v>86</v>
      </c>
      <c r="C1088" t="s">
        <v>814</v>
      </c>
      <c r="D1088">
        <v>86.885000000000005</v>
      </c>
      <c r="E1088" t="str">
        <f t="shared" si="33"/>
        <v>86885</v>
      </c>
      <c r="F1088" t="s">
        <v>1061</v>
      </c>
      <c r="G1088" t="str">
        <f t="shared" si="32"/>
        <v>Villagarzón, Putumayo, 86885</v>
      </c>
    </row>
    <row r="1089" spans="1:7" x14ac:dyDescent="0.25">
      <c r="A1089" t="s">
        <v>17</v>
      </c>
      <c r="B1089">
        <v>25</v>
      </c>
      <c r="C1089" t="s">
        <v>409</v>
      </c>
      <c r="D1089">
        <v>25.870999999999999</v>
      </c>
      <c r="E1089" t="str">
        <f t="shared" si="33"/>
        <v>25871</v>
      </c>
      <c r="F1089" t="s">
        <v>499</v>
      </c>
      <c r="G1089" t="str">
        <f t="shared" si="32"/>
        <v>Villagómez, Cundinamarca, 25871</v>
      </c>
    </row>
    <row r="1090" spans="1:7" x14ac:dyDescent="0.25">
      <c r="A1090" t="s">
        <v>316</v>
      </c>
      <c r="B1090">
        <v>73</v>
      </c>
      <c r="C1090" t="s">
        <v>757</v>
      </c>
      <c r="D1090">
        <v>73.87</v>
      </c>
      <c r="E1090" t="str">
        <f t="shared" si="33"/>
        <v>7387</v>
      </c>
      <c r="F1090" t="s">
        <v>793</v>
      </c>
      <c r="G1090" t="str">
        <f t="shared" ref="G1090:G1153" si="34">_xlfn.CONCAT(F1090,", ",C1090,", ",E1090)</f>
        <v>Villahermosa, Tolima, 7387</v>
      </c>
    </row>
    <row r="1091" spans="1:7" x14ac:dyDescent="0.25">
      <c r="A1091" t="s">
        <v>5</v>
      </c>
      <c r="B1091">
        <v>17</v>
      </c>
      <c r="C1091" t="s">
        <v>34</v>
      </c>
      <c r="D1091">
        <v>17.873000000000001</v>
      </c>
      <c r="E1091" t="str">
        <f t="shared" ref="E1091:E1124" si="35">SUBSTITUTE(D1091, ".", "",1)</f>
        <v>17873</v>
      </c>
      <c r="F1091" t="s">
        <v>314</v>
      </c>
      <c r="G1091" t="str">
        <f t="shared" si="34"/>
        <v>Villamaría, Caldas, 17873</v>
      </c>
    </row>
    <row r="1092" spans="1:7" x14ac:dyDescent="0.25">
      <c r="A1092" t="s">
        <v>56</v>
      </c>
      <c r="B1092">
        <v>13</v>
      </c>
      <c r="C1092" t="s">
        <v>154</v>
      </c>
      <c r="D1092">
        <v>13.872999999999999</v>
      </c>
      <c r="E1092" t="str">
        <f t="shared" si="35"/>
        <v>13873</v>
      </c>
      <c r="F1092" t="s">
        <v>185</v>
      </c>
      <c r="G1092" t="str">
        <f t="shared" si="34"/>
        <v>Villanueva, Bolívar, 13873</v>
      </c>
    </row>
    <row r="1093" spans="1:7" x14ac:dyDescent="0.25">
      <c r="A1093" t="s">
        <v>117</v>
      </c>
      <c r="B1093">
        <v>85</v>
      </c>
      <c r="C1093" t="s">
        <v>802</v>
      </c>
      <c r="D1093">
        <v>85.44</v>
      </c>
      <c r="E1093" t="str">
        <f t="shared" si="35"/>
        <v>8544</v>
      </c>
      <c r="F1093" t="s">
        <v>185</v>
      </c>
      <c r="G1093" t="str">
        <f t="shared" si="34"/>
        <v>Villanueva, Casanare, 8544</v>
      </c>
    </row>
    <row r="1094" spans="1:7" x14ac:dyDescent="0.25">
      <c r="A1094" t="s">
        <v>56</v>
      </c>
      <c r="B1094">
        <v>44</v>
      </c>
      <c r="C1094" t="s">
        <v>559</v>
      </c>
      <c r="D1094">
        <v>44.874000000000002</v>
      </c>
      <c r="E1094" t="str">
        <f t="shared" si="35"/>
        <v>44874</v>
      </c>
      <c r="F1094" t="s">
        <v>185</v>
      </c>
      <c r="G1094" t="str">
        <f t="shared" si="34"/>
        <v>Villanueva, La Guajira, 44874</v>
      </c>
    </row>
    <row r="1095" spans="1:7" x14ac:dyDescent="0.25">
      <c r="A1095" t="s">
        <v>17</v>
      </c>
      <c r="B1095">
        <v>68</v>
      </c>
      <c r="C1095" t="s">
        <v>104</v>
      </c>
      <c r="D1095">
        <v>68.872</v>
      </c>
      <c r="E1095" t="str">
        <f t="shared" si="35"/>
        <v>68872</v>
      </c>
      <c r="F1095" t="s">
        <v>185</v>
      </c>
      <c r="G1095" t="str">
        <f t="shared" si="34"/>
        <v>Villanueva, Santander, 68872</v>
      </c>
    </row>
    <row r="1096" spans="1:7" x14ac:dyDescent="0.25">
      <c r="A1096" t="s">
        <v>17</v>
      </c>
      <c r="B1096">
        <v>25</v>
      </c>
      <c r="C1096" t="s">
        <v>409</v>
      </c>
      <c r="D1096">
        <v>25.873000000000001</v>
      </c>
      <c r="E1096" t="str">
        <f t="shared" si="35"/>
        <v>25873</v>
      </c>
      <c r="F1096" t="s">
        <v>500</v>
      </c>
      <c r="G1096" t="str">
        <f t="shared" si="34"/>
        <v>Villapinzón, Cundinamarca, 25873</v>
      </c>
    </row>
    <row r="1097" spans="1:7" x14ac:dyDescent="0.25">
      <c r="A1097" t="s">
        <v>316</v>
      </c>
      <c r="B1097">
        <v>73</v>
      </c>
      <c r="C1097" t="s">
        <v>757</v>
      </c>
      <c r="D1097">
        <v>73.873000000000005</v>
      </c>
      <c r="E1097" t="str">
        <f t="shared" si="35"/>
        <v>73873</v>
      </c>
      <c r="F1097" t="s">
        <v>794</v>
      </c>
      <c r="G1097" t="str">
        <f t="shared" si="34"/>
        <v>Villarrica, Tolima, 73873</v>
      </c>
    </row>
    <row r="1098" spans="1:7" x14ac:dyDescent="0.25">
      <c r="A1098" t="s">
        <v>117</v>
      </c>
      <c r="B1098">
        <v>50</v>
      </c>
      <c r="C1098" t="s">
        <v>118</v>
      </c>
      <c r="D1098">
        <v>50.000999999999998</v>
      </c>
      <c r="E1098" t="str">
        <f t="shared" si="35"/>
        <v>50001</v>
      </c>
      <c r="F1098" t="s">
        <v>593</v>
      </c>
      <c r="G1098" t="str">
        <f t="shared" si="34"/>
        <v>Villavicencio, Meta, 50001</v>
      </c>
    </row>
    <row r="1099" spans="1:7" x14ac:dyDescent="0.25">
      <c r="A1099" t="s">
        <v>316</v>
      </c>
      <c r="B1099">
        <v>41</v>
      </c>
      <c r="C1099" t="s">
        <v>525</v>
      </c>
      <c r="D1099">
        <v>41.872</v>
      </c>
      <c r="E1099" t="str">
        <f t="shared" si="35"/>
        <v>41872</v>
      </c>
      <c r="F1099" t="s">
        <v>557</v>
      </c>
      <c r="G1099" t="str">
        <f t="shared" si="34"/>
        <v>Villavieja, Huila, 41872</v>
      </c>
    </row>
    <row r="1100" spans="1:7" x14ac:dyDescent="0.25">
      <c r="A1100" t="s">
        <v>17</v>
      </c>
      <c r="B1100">
        <v>25</v>
      </c>
      <c r="C1100" t="s">
        <v>409</v>
      </c>
      <c r="D1100">
        <v>25.875</v>
      </c>
      <c r="E1100" t="str">
        <f t="shared" si="35"/>
        <v>25875</v>
      </c>
      <c r="F1100" t="s">
        <v>501</v>
      </c>
      <c r="G1100" t="str">
        <f t="shared" si="34"/>
        <v>Villeta, Cundinamarca, 25875</v>
      </c>
    </row>
    <row r="1101" spans="1:7" x14ac:dyDescent="0.25">
      <c r="A1101" t="s">
        <v>17</v>
      </c>
      <c r="B1101">
        <v>25</v>
      </c>
      <c r="C1101" t="s">
        <v>409</v>
      </c>
      <c r="D1101">
        <v>25.878</v>
      </c>
      <c r="E1101" t="str">
        <f t="shared" si="35"/>
        <v>25878</v>
      </c>
      <c r="F1101" t="s">
        <v>502</v>
      </c>
      <c r="G1101" t="str">
        <f t="shared" si="34"/>
        <v>Viotá, Cundinamarca, 25878</v>
      </c>
    </row>
    <row r="1102" spans="1:7" x14ac:dyDescent="0.25">
      <c r="A1102" t="s">
        <v>17</v>
      </c>
      <c r="B1102">
        <v>15</v>
      </c>
      <c r="C1102" t="s">
        <v>18</v>
      </c>
      <c r="D1102">
        <v>15.879</v>
      </c>
      <c r="E1102" t="str">
        <f t="shared" si="35"/>
        <v>15879</v>
      </c>
      <c r="F1102" t="s">
        <v>288</v>
      </c>
      <c r="G1102" t="str">
        <f t="shared" si="34"/>
        <v>Viracachá, Boyacá, 15879</v>
      </c>
    </row>
    <row r="1103" spans="1:7" x14ac:dyDescent="0.25">
      <c r="A1103" t="s">
        <v>117</v>
      </c>
      <c r="B1103">
        <v>50</v>
      </c>
      <c r="C1103" t="s">
        <v>118</v>
      </c>
      <c r="D1103">
        <v>50.710999999999999</v>
      </c>
      <c r="E1103" t="str">
        <f t="shared" si="35"/>
        <v>50711</v>
      </c>
      <c r="F1103" t="s">
        <v>611</v>
      </c>
      <c r="G1103" t="str">
        <f t="shared" si="34"/>
        <v>Vista Hermosa, Meta, 50711</v>
      </c>
    </row>
    <row r="1104" spans="1:7" x14ac:dyDescent="0.25">
      <c r="A1104" t="s">
        <v>5</v>
      </c>
      <c r="B1104">
        <v>17</v>
      </c>
      <c r="C1104" t="s">
        <v>34</v>
      </c>
      <c r="D1104">
        <v>17.876999999999999</v>
      </c>
      <c r="E1104" t="str">
        <f t="shared" si="35"/>
        <v>17877</v>
      </c>
      <c r="F1104" t="s">
        <v>315</v>
      </c>
      <c r="G1104" t="str">
        <f t="shared" si="34"/>
        <v>Viterbo, Caldas, 17877</v>
      </c>
    </row>
    <row r="1105" spans="1:7" x14ac:dyDescent="0.25">
      <c r="A1105" t="s">
        <v>17</v>
      </c>
      <c r="B1105">
        <v>25</v>
      </c>
      <c r="C1105" t="s">
        <v>409</v>
      </c>
      <c r="D1105">
        <v>25.885000000000002</v>
      </c>
      <c r="E1105" t="str">
        <f t="shared" si="35"/>
        <v>25885</v>
      </c>
      <c r="F1105" t="s">
        <v>1046</v>
      </c>
      <c r="G1105" t="str">
        <f t="shared" si="34"/>
        <v>Yacopí, Cundinamarca, 25885</v>
      </c>
    </row>
    <row r="1106" spans="1:7" x14ac:dyDescent="0.25">
      <c r="A1106" t="s">
        <v>62</v>
      </c>
      <c r="B1106">
        <v>52</v>
      </c>
      <c r="C1106" t="s">
        <v>84</v>
      </c>
      <c r="D1106">
        <v>52.884999999999998</v>
      </c>
      <c r="E1106" t="str">
        <f t="shared" si="35"/>
        <v>52885</v>
      </c>
      <c r="F1106" t="s">
        <v>659</v>
      </c>
      <c r="G1106" t="str">
        <f t="shared" si="34"/>
        <v>Yacuanquer, Nariño, 52885</v>
      </c>
    </row>
    <row r="1107" spans="1:7" x14ac:dyDescent="0.25">
      <c r="A1107" t="s">
        <v>316</v>
      </c>
      <c r="B1107">
        <v>41</v>
      </c>
      <c r="C1107" t="s">
        <v>525</v>
      </c>
      <c r="D1107">
        <v>41.884999999999998</v>
      </c>
      <c r="E1107" t="str">
        <f t="shared" si="35"/>
        <v>41885</v>
      </c>
      <c r="F1107" t="s">
        <v>558</v>
      </c>
      <c r="G1107" t="str">
        <f t="shared" si="34"/>
        <v>Yaguará, Huila, 41885</v>
      </c>
    </row>
    <row r="1108" spans="1:7" x14ac:dyDescent="0.25">
      <c r="A1108" t="s">
        <v>5</v>
      </c>
      <c r="B1108">
        <v>5</v>
      </c>
      <c r="C1108" t="s">
        <v>6</v>
      </c>
      <c r="D1108">
        <v>5.8849999999999998</v>
      </c>
      <c r="E1108" t="str">
        <f t="shared" si="35"/>
        <v>5885</v>
      </c>
      <c r="F1108" t="s">
        <v>132</v>
      </c>
      <c r="G1108" t="str">
        <f t="shared" si="34"/>
        <v>Yalí, Antioquia, 5885</v>
      </c>
    </row>
    <row r="1109" spans="1:7" x14ac:dyDescent="0.25">
      <c r="A1109" t="s">
        <v>5</v>
      </c>
      <c r="B1109">
        <v>5</v>
      </c>
      <c r="C1109" t="s">
        <v>6</v>
      </c>
      <c r="D1109">
        <v>5.8869999999999996</v>
      </c>
      <c r="E1109" t="str">
        <f t="shared" si="35"/>
        <v>5887</v>
      </c>
      <c r="F1109" t="s">
        <v>133</v>
      </c>
      <c r="G1109" t="str">
        <f t="shared" si="34"/>
        <v>Yarumal, Antioquia, 5887</v>
      </c>
    </row>
    <row r="1110" spans="1:7" x14ac:dyDescent="0.25">
      <c r="A1110" t="s">
        <v>316</v>
      </c>
      <c r="B1110">
        <v>97</v>
      </c>
      <c r="C1110" t="s">
        <v>840</v>
      </c>
      <c r="D1110">
        <v>97.888999999999996</v>
      </c>
      <c r="E1110" t="str">
        <f t="shared" si="35"/>
        <v>97889</v>
      </c>
      <c r="F1110" t="s">
        <v>845</v>
      </c>
      <c r="G1110" t="str">
        <f t="shared" si="34"/>
        <v>Yavaraté, Vaupés, 97889</v>
      </c>
    </row>
    <row r="1111" spans="1:7" x14ac:dyDescent="0.25">
      <c r="A1111" t="s">
        <v>5</v>
      </c>
      <c r="B1111">
        <v>5</v>
      </c>
      <c r="C1111" t="s">
        <v>6</v>
      </c>
      <c r="D1111">
        <v>5.89</v>
      </c>
      <c r="E1111" t="str">
        <f t="shared" si="35"/>
        <v>589</v>
      </c>
      <c r="F1111" t="s">
        <v>134</v>
      </c>
      <c r="G1111" t="str">
        <f t="shared" si="34"/>
        <v>Yolombó, Antioquia, 589</v>
      </c>
    </row>
    <row r="1112" spans="1:7" x14ac:dyDescent="0.25">
      <c r="A1112" t="s">
        <v>5</v>
      </c>
      <c r="B1112">
        <v>5</v>
      </c>
      <c r="C1112" t="s">
        <v>6</v>
      </c>
      <c r="D1112">
        <v>5.8929999999999998</v>
      </c>
      <c r="E1112" t="str">
        <f t="shared" si="35"/>
        <v>5893</v>
      </c>
      <c r="F1112" t="s">
        <v>135</v>
      </c>
      <c r="G1112" t="str">
        <f t="shared" si="34"/>
        <v>Yondó, Antioquia, 5893</v>
      </c>
    </row>
    <row r="1113" spans="1:7" x14ac:dyDescent="0.25">
      <c r="A1113" t="s">
        <v>117</v>
      </c>
      <c r="B1113">
        <v>85</v>
      </c>
      <c r="C1113" t="s">
        <v>802</v>
      </c>
      <c r="D1113">
        <v>85.001000000000005</v>
      </c>
      <c r="E1113" t="str">
        <f t="shared" si="35"/>
        <v>85001</v>
      </c>
      <c r="F1113" t="s">
        <v>803</v>
      </c>
      <c r="G1113" t="str">
        <f t="shared" si="34"/>
        <v>Yopal, Casanare, 85001</v>
      </c>
    </row>
    <row r="1114" spans="1:7" x14ac:dyDescent="0.25">
      <c r="A1114" t="s">
        <v>62</v>
      </c>
      <c r="B1114">
        <v>76</v>
      </c>
      <c r="C1114" t="s">
        <v>942</v>
      </c>
      <c r="D1114">
        <v>76.89</v>
      </c>
      <c r="E1114" t="str">
        <f t="shared" si="35"/>
        <v>7689</v>
      </c>
      <c r="F1114" t="s">
        <v>989</v>
      </c>
      <c r="G1114" t="str">
        <f t="shared" si="34"/>
        <v>Yotoco, Valle del Cauca, 7689</v>
      </c>
    </row>
    <row r="1115" spans="1:7" x14ac:dyDescent="0.25">
      <c r="A1115" t="s">
        <v>62</v>
      </c>
      <c r="B1115">
        <v>76</v>
      </c>
      <c r="C1115" t="s">
        <v>942</v>
      </c>
      <c r="D1115">
        <v>76.891999999999996</v>
      </c>
      <c r="E1115" t="str">
        <f t="shared" si="35"/>
        <v>76892</v>
      </c>
      <c r="F1115" t="s">
        <v>969</v>
      </c>
      <c r="G1115" t="str">
        <f t="shared" si="34"/>
        <v>Yumbo, Valle del Cauca, 76892</v>
      </c>
    </row>
    <row r="1116" spans="1:7" x14ac:dyDescent="0.25">
      <c r="A1116" t="s">
        <v>56</v>
      </c>
      <c r="B1116">
        <v>13</v>
      </c>
      <c r="C1116" t="s">
        <v>154</v>
      </c>
      <c r="D1116">
        <v>13.894</v>
      </c>
      <c r="E1116" t="str">
        <f t="shared" si="35"/>
        <v>13894</v>
      </c>
      <c r="F1116" t="s">
        <v>1054</v>
      </c>
      <c r="G1116" t="str">
        <f t="shared" si="34"/>
        <v>Zambrano, Bolívar, 13894</v>
      </c>
    </row>
    <row r="1117" spans="1:7" x14ac:dyDescent="0.25">
      <c r="A1117" t="s">
        <v>17</v>
      </c>
      <c r="B1117">
        <v>68</v>
      </c>
      <c r="C1117" t="s">
        <v>104</v>
      </c>
      <c r="D1117">
        <v>68.894999999999996</v>
      </c>
      <c r="E1117" t="str">
        <f t="shared" si="35"/>
        <v>68895</v>
      </c>
      <c r="F1117" t="s">
        <v>739</v>
      </c>
      <c r="G1117" t="str">
        <f t="shared" si="34"/>
        <v>Zapatoca, Santander, 68895</v>
      </c>
    </row>
    <row r="1118" spans="1:7" x14ac:dyDescent="0.25">
      <c r="A1118" t="s">
        <v>56</v>
      </c>
      <c r="B1118">
        <v>47</v>
      </c>
      <c r="C1118" t="s">
        <v>570</v>
      </c>
      <c r="D1118">
        <v>47.96</v>
      </c>
      <c r="E1118" t="str">
        <f t="shared" si="35"/>
        <v>4796</v>
      </c>
      <c r="F1118" t="s">
        <v>591</v>
      </c>
      <c r="G1118" t="str">
        <f t="shared" si="34"/>
        <v>Zapayán, Magdalena, 4796</v>
      </c>
    </row>
    <row r="1119" spans="1:7" x14ac:dyDescent="0.25">
      <c r="A1119" t="s">
        <v>5</v>
      </c>
      <c r="B1119">
        <v>5</v>
      </c>
      <c r="C1119" t="s">
        <v>6</v>
      </c>
      <c r="D1119">
        <v>5.8949999999999996</v>
      </c>
      <c r="E1119" t="str">
        <f t="shared" si="35"/>
        <v>5895</v>
      </c>
      <c r="F1119" t="s">
        <v>136</v>
      </c>
      <c r="G1119" t="str">
        <f t="shared" si="34"/>
        <v>Zaragoza, Antioquia, 5895</v>
      </c>
    </row>
    <row r="1120" spans="1:7" x14ac:dyDescent="0.25">
      <c r="A1120" t="s">
        <v>62</v>
      </c>
      <c r="B1120">
        <v>76</v>
      </c>
      <c r="C1120" t="s">
        <v>942</v>
      </c>
      <c r="D1120">
        <v>76.894999999999996</v>
      </c>
      <c r="E1120" t="str">
        <f t="shared" si="35"/>
        <v>76895</v>
      </c>
      <c r="F1120" t="s">
        <v>949</v>
      </c>
      <c r="G1120" t="str">
        <f t="shared" si="34"/>
        <v>Zarzal, Valle del Cauca, 76895</v>
      </c>
    </row>
    <row r="1121" spans="1:7" x14ac:dyDescent="0.25">
      <c r="A1121" t="s">
        <v>17</v>
      </c>
      <c r="B1121">
        <v>15</v>
      </c>
      <c r="C1121" t="s">
        <v>18</v>
      </c>
      <c r="D1121">
        <v>15.897</v>
      </c>
      <c r="E1121" t="str">
        <f t="shared" si="35"/>
        <v>15897</v>
      </c>
      <c r="F1121" t="s">
        <v>289</v>
      </c>
      <c r="G1121" t="str">
        <f t="shared" si="34"/>
        <v>Zetaquira, Boyacá, 15897</v>
      </c>
    </row>
    <row r="1122" spans="1:7" x14ac:dyDescent="0.25">
      <c r="A1122" t="s">
        <v>17</v>
      </c>
      <c r="B1122">
        <v>25</v>
      </c>
      <c r="C1122" t="s">
        <v>409</v>
      </c>
      <c r="D1122">
        <v>25.898</v>
      </c>
      <c r="E1122" t="str">
        <f t="shared" si="35"/>
        <v>25898</v>
      </c>
      <c r="F1122" t="s">
        <v>503</v>
      </c>
      <c r="G1122" t="str">
        <f t="shared" si="34"/>
        <v>Zipacón, Cundinamarca, 25898</v>
      </c>
    </row>
    <row r="1123" spans="1:7" x14ac:dyDescent="0.25">
      <c r="A1123" t="s">
        <v>17</v>
      </c>
      <c r="B1123">
        <v>25</v>
      </c>
      <c r="C1123" t="s">
        <v>409</v>
      </c>
      <c r="D1123">
        <v>25.899000000000001</v>
      </c>
      <c r="E1123" t="str">
        <f t="shared" si="35"/>
        <v>25899</v>
      </c>
      <c r="F1123" t="s">
        <v>1056</v>
      </c>
      <c r="G1123" t="str">
        <f t="shared" si="34"/>
        <v>Zipaquirá, Cundinamarca, 25899</v>
      </c>
    </row>
    <row r="1124" spans="1:7" x14ac:dyDescent="0.25">
      <c r="A1124" t="s">
        <v>56</v>
      </c>
      <c r="B1124">
        <v>47</v>
      </c>
      <c r="C1124" t="s">
        <v>570</v>
      </c>
      <c r="D1124">
        <v>47.98</v>
      </c>
      <c r="E1124" t="str">
        <f t="shared" si="35"/>
        <v>4798</v>
      </c>
      <c r="F1124" t="s">
        <v>592</v>
      </c>
      <c r="G1124" t="str">
        <f t="shared" si="34"/>
        <v>Zona Bananera, Magdalena, 4798</v>
      </c>
    </row>
  </sheetData>
  <sortState xmlns:xlrd2="http://schemas.microsoft.com/office/spreadsheetml/2017/richdata2" ref="A2:G1124">
    <sortCondition ref="G1:G1124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1D98-50FD-4498-92CA-86C131D3B78D}">
  <dimension ref="A1:H1122"/>
  <sheetViews>
    <sheetView tabSelected="1" topLeftCell="E1" zoomScale="130" zoomScaleNormal="130" workbookViewId="0">
      <selection activeCell="F31" sqref="F31"/>
    </sheetView>
  </sheetViews>
  <sheetFormatPr baseColWidth="10" defaultRowHeight="15" x14ac:dyDescent="0.25"/>
  <cols>
    <col min="1" max="1" width="11.85546875" style="1" hidden="1" customWidth="1"/>
    <col min="2" max="2" width="22.85546875" style="1" hidden="1" customWidth="1"/>
    <col min="3" max="3" width="16" style="1" hidden="1" customWidth="1"/>
    <col min="4" max="4" width="43.5703125" style="1" hidden="1" customWidth="1"/>
    <col min="5" max="5" width="34.140625" style="4" customWidth="1"/>
    <col min="6" max="6" width="66.85546875" style="5" customWidth="1"/>
    <col min="7" max="7" width="16.28515625" style="1" customWidth="1"/>
    <col min="8" max="8" width="25.5703125" style="5" customWidth="1"/>
    <col min="9" max="16384" width="11.42578125" style="1"/>
  </cols>
  <sheetData>
    <row r="1" spans="1:8" x14ac:dyDescent="0.25">
      <c r="A1" s="2" t="s">
        <v>1069</v>
      </c>
      <c r="B1" s="2" t="s">
        <v>1072</v>
      </c>
      <c r="C1" s="2" t="s">
        <v>1070</v>
      </c>
      <c r="D1" s="2" t="s">
        <v>1071</v>
      </c>
      <c r="E1" s="15"/>
      <c r="F1" s="16" t="s">
        <v>1088</v>
      </c>
      <c r="G1" s="18" t="s">
        <v>1079</v>
      </c>
      <c r="H1" s="18"/>
    </row>
    <row r="2" spans="1:8" x14ac:dyDescent="0.25">
      <c r="A2" s="1" t="b">
        <f>ISNUMBER(SEARCH(Popayan_Cali!$F$7,Municipios!G2,1))</f>
        <v>0</v>
      </c>
      <c r="B2" s="1" t="e" cm="1">
        <f t="array" ref="B2">_xlfn._xlws.FILTER(Municipios!G2:G1124,A2:A1122)</f>
        <v>#VALUE!</v>
      </c>
      <c r="C2" s="1" t="b">
        <f>ISNUMBER(SEARCH($F$8,Municipios!G2,1))</f>
        <v>0</v>
      </c>
      <c r="D2" s="1" t="e" cm="1">
        <f t="array" ref="D2">_xlfn._xlws.FILTER(Municipios!G2:G1124,C2:C1122)</f>
        <v>#VALUE!</v>
      </c>
      <c r="E2" s="15"/>
      <c r="F2" s="17"/>
      <c r="G2" s="7" t="s">
        <v>1080</v>
      </c>
      <c r="H2" s="8">
        <v>1</v>
      </c>
    </row>
    <row r="3" spans="1:8" ht="15" customHeight="1" x14ac:dyDescent="0.25">
      <c r="A3" s="1" t="b">
        <f>ISNUMBER(SEARCH(Popayan_Cali!$F$7,Municipios!G3,1))</f>
        <v>0</v>
      </c>
      <c r="C3" s="1" t="b">
        <f>ISNUMBER(SEARCH($F$8,Municipios!G3,1))</f>
        <v>0</v>
      </c>
      <c r="E3" s="15"/>
      <c r="F3" s="17"/>
      <c r="G3" s="19" t="s">
        <v>1081</v>
      </c>
      <c r="H3" s="20" t="s">
        <v>1078</v>
      </c>
    </row>
    <row r="4" spans="1:8" x14ac:dyDescent="0.25">
      <c r="A4" s="1" t="b">
        <f>ISNUMBER(SEARCH(Popayan_Cali!$F$7,Municipios!G4,1))</f>
        <v>0</v>
      </c>
      <c r="C4" s="1" t="b">
        <f>ISNUMBER(SEARCH($F$8,Municipios!G4,1))</f>
        <v>0</v>
      </c>
      <c r="E4" s="15"/>
      <c r="F4" s="17"/>
      <c r="G4" s="19"/>
      <c r="H4" s="20"/>
    </row>
    <row r="5" spans="1:8" x14ac:dyDescent="0.25">
      <c r="A5" s="1" t="b">
        <f>ISNUMBER(SEARCH(Popayan_Cali!$F$7,Municipios!G5,1))</f>
        <v>0</v>
      </c>
      <c r="C5" s="1" t="b">
        <f>ISNUMBER(SEARCH($F$8,Municipios!G5,1))</f>
        <v>0</v>
      </c>
      <c r="E5" s="15"/>
      <c r="F5" s="17"/>
      <c r="G5" s="19"/>
      <c r="H5" s="20"/>
    </row>
    <row r="6" spans="1:8" x14ac:dyDescent="0.25">
      <c r="A6" s="1" t="b">
        <f>ISNUMBER(SEARCH(Popayan_Cali!$F$7,Municipios!G6,1))</f>
        <v>0</v>
      </c>
      <c r="C6" s="1" t="b">
        <f>ISNUMBER(SEARCH($F$8,Municipios!G6,1))</f>
        <v>0</v>
      </c>
      <c r="H6" s="1"/>
    </row>
    <row r="7" spans="1:8" x14ac:dyDescent="0.25">
      <c r="A7" s="1" t="b">
        <f>ISNUMBER(SEARCH(Popayan_Cali!$F$7,Municipios!G7,1))</f>
        <v>0</v>
      </c>
      <c r="C7" s="1" t="b">
        <f>ISNUMBER(SEARCH($F$8,Municipios!G7,1))</f>
        <v>0</v>
      </c>
      <c r="E7" s="9" t="s">
        <v>1086</v>
      </c>
      <c r="F7" s="10" t="s">
        <v>1076</v>
      </c>
    </row>
    <row r="8" spans="1:8" x14ac:dyDescent="0.25">
      <c r="A8" s="1" t="b">
        <f>ISNUMBER(SEARCH(Popayan_Cali!$F$7,Municipios!G8,1))</f>
        <v>0</v>
      </c>
      <c r="C8" s="1" t="b">
        <f>ISNUMBER(SEARCH($F$8,Municipios!G8,1))</f>
        <v>0</v>
      </c>
      <c r="E8" s="9" t="s">
        <v>1087</v>
      </c>
      <c r="F8" s="10" t="s">
        <v>1075</v>
      </c>
    </row>
    <row r="9" spans="1:8" x14ac:dyDescent="0.25">
      <c r="A9" s="1" t="b">
        <f>ISNUMBER(SEARCH(Popayan_Cali!$F$7,Municipios!G11,1))</f>
        <v>0</v>
      </c>
      <c r="C9" s="1" t="b">
        <f>ISNUMBER(SEARCH($F$8,Municipios!G11,1))</f>
        <v>0</v>
      </c>
      <c r="E9" s="9" t="s">
        <v>1084</v>
      </c>
      <c r="F9" s="13">
        <v>45200</v>
      </c>
    </row>
    <row r="10" spans="1:8" x14ac:dyDescent="0.25">
      <c r="A10" s="1" t="b">
        <f>ISNUMBER(SEARCH(Popayan_Cali!$F$7,Municipios!G12,1))</f>
        <v>0</v>
      </c>
      <c r="C10" s="1" t="b">
        <f>ISNUMBER(SEARCH($F$8,Municipios!G12,1))</f>
        <v>0</v>
      </c>
      <c r="E10" s="9" t="s">
        <v>1085</v>
      </c>
      <c r="F10" s="13">
        <v>45220</v>
      </c>
    </row>
    <row r="11" spans="1:8" x14ac:dyDescent="0.25">
      <c r="A11" s="1" t="b">
        <f>ISNUMBER(SEARCH(Popayan_Cali!$F$7,Municipios!G13,1))</f>
        <v>0</v>
      </c>
      <c r="C11" s="1" t="b">
        <f>ISNUMBER(SEARCH($F$8,Municipios!G13,1))</f>
        <v>0</v>
      </c>
    </row>
    <row r="12" spans="1:8" x14ac:dyDescent="0.25">
      <c r="A12" s="1" t="b">
        <f>ISNUMBER(SEARCH(Popayan_Cali!$F$7,Municipios!G14,1))</f>
        <v>0</v>
      </c>
      <c r="C12" s="1" t="b">
        <f>ISNUMBER(SEARCH($F$8,Municipios!G14,1))</f>
        <v>0</v>
      </c>
    </row>
    <row r="13" spans="1:8" x14ac:dyDescent="0.25">
      <c r="A13" s="1" t="b">
        <f>ISNUMBER(SEARCH(Popayan_Cali!$F$7,Municipios!G15,1))</f>
        <v>0</v>
      </c>
      <c r="C13" s="1" t="b">
        <f>ISNUMBER(SEARCH($F$8,Municipios!G15,1))</f>
        <v>0</v>
      </c>
      <c r="E13" s="3" t="s">
        <v>1090</v>
      </c>
      <c r="F13" s="3" t="s">
        <v>1073</v>
      </c>
      <c r="G13" s="3" t="s">
        <v>1083</v>
      </c>
      <c r="H13" s="3" t="s">
        <v>1082</v>
      </c>
    </row>
    <row r="14" spans="1:8" x14ac:dyDescent="0.25">
      <c r="A14" s="1" t="b">
        <f>ISNUMBER(SEARCH(Popayan_Cali!$F$7,Municipios!G16,1))</f>
        <v>0</v>
      </c>
      <c r="C14" s="1" t="b">
        <f>ISNUMBER(SEARCH($F$8,Municipios!G16,1))</f>
        <v>0</v>
      </c>
      <c r="E14" s="4">
        <v>45200</v>
      </c>
      <c r="F14" s="5" t="s">
        <v>1091</v>
      </c>
      <c r="G14" s="12">
        <v>999999</v>
      </c>
      <c r="H14" s="11" t="s">
        <v>1089</v>
      </c>
    </row>
    <row r="15" spans="1:8" x14ac:dyDescent="0.25">
      <c r="A15" s="1" t="b">
        <f>ISNUMBER(SEARCH(Popayan_Cali!$F$7,Municipios!G17,1))</f>
        <v>0</v>
      </c>
      <c r="C15" s="1" t="b">
        <f>ISNUMBER(SEARCH($F$8,Municipios!G17,1))</f>
        <v>0</v>
      </c>
      <c r="E15" s="4">
        <v>45219</v>
      </c>
      <c r="F15" s="5" t="s">
        <v>1092</v>
      </c>
      <c r="G15" s="12">
        <v>999999</v>
      </c>
      <c r="H15" s="11" t="s">
        <v>1089</v>
      </c>
    </row>
    <row r="16" spans="1:8" x14ac:dyDescent="0.25">
      <c r="A16" s="1" t="b">
        <f>ISNUMBER(SEARCH(Popayan_Cali!$F$7,Municipios!G18,1))</f>
        <v>0</v>
      </c>
      <c r="C16" s="1" t="b">
        <f>ISNUMBER(SEARCH($F$8,Municipios!G18,1))</f>
        <v>0</v>
      </c>
    </row>
    <row r="17" spans="1:6" x14ac:dyDescent="0.25">
      <c r="A17" s="1" t="b">
        <f>ISNUMBER(SEARCH(Popayan_Cali!$F$7,Municipios!G19,1))</f>
        <v>0</v>
      </c>
      <c r="C17" s="1" t="b">
        <f>ISNUMBER(SEARCH($F$8,Municipios!G19,1))</f>
        <v>0</v>
      </c>
    </row>
    <row r="18" spans="1:6" x14ac:dyDescent="0.25">
      <c r="A18" s="1" t="b">
        <f>ISNUMBER(SEARCH(Popayan_Cali!$F$7,Municipios!G20,1))</f>
        <v>0</v>
      </c>
      <c r="C18" s="1" t="b">
        <f>ISNUMBER(SEARCH($F$8,Municipios!G20,1))</f>
        <v>0</v>
      </c>
    </row>
    <row r="19" spans="1:6" x14ac:dyDescent="0.25">
      <c r="A19" s="1" t="b">
        <f>ISNUMBER(SEARCH(Popayan_Cali!$F$7,Municipios!G21,1))</f>
        <v>0</v>
      </c>
      <c r="C19" s="1" t="b">
        <f>ISNUMBER(SEARCH($F$8,Municipios!G21,1))</f>
        <v>0</v>
      </c>
    </row>
    <row r="20" spans="1:6" x14ac:dyDescent="0.25">
      <c r="A20" s="1" t="b">
        <f>ISNUMBER(SEARCH(Popayan_Cali!$F$7,Municipios!G22,1))</f>
        <v>0</v>
      </c>
      <c r="C20" s="1" t="b">
        <f>ISNUMBER(SEARCH($F$8,Municipios!G22,1))</f>
        <v>0</v>
      </c>
    </row>
    <row r="21" spans="1:6" x14ac:dyDescent="0.25">
      <c r="A21" s="1" t="b">
        <f>ISNUMBER(SEARCH(Popayan_Cali!$F$7,Municipios!G23,1))</f>
        <v>0</v>
      </c>
      <c r="C21" s="1" t="b">
        <f>ISNUMBER(SEARCH($F$8,Municipios!G23,1))</f>
        <v>0</v>
      </c>
      <c r="F21" s="14"/>
    </row>
    <row r="22" spans="1:6" x14ac:dyDescent="0.25">
      <c r="A22" s="1" t="b">
        <f>ISNUMBER(SEARCH(Popayan_Cali!$F$7,Municipios!G24,1))</f>
        <v>0</v>
      </c>
      <c r="C22" s="1" t="b">
        <f>ISNUMBER(SEARCH($F$8,Municipios!G24,1))</f>
        <v>0</v>
      </c>
    </row>
    <row r="23" spans="1:6" x14ac:dyDescent="0.25">
      <c r="A23" s="1" t="b">
        <f>ISNUMBER(SEARCH(Popayan_Cali!$F$7,Municipios!G25,1))</f>
        <v>0</v>
      </c>
      <c r="C23" s="1" t="b">
        <f>ISNUMBER(SEARCH($F$8,Municipios!G25,1))</f>
        <v>0</v>
      </c>
    </row>
    <row r="24" spans="1:6" x14ac:dyDescent="0.25">
      <c r="A24" s="1" t="b">
        <f>ISNUMBER(SEARCH(Popayan_Cali!$F$7,Municipios!G26,1))</f>
        <v>0</v>
      </c>
      <c r="C24" s="1" t="b">
        <f>ISNUMBER(SEARCH($F$8,Municipios!G26,1))</f>
        <v>0</v>
      </c>
    </row>
    <row r="25" spans="1:6" x14ac:dyDescent="0.25">
      <c r="A25" s="1" t="b">
        <f>ISNUMBER(SEARCH(Popayan_Cali!$F$7,Municipios!G27,1))</f>
        <v>0</v>
      </c>
      <c r="C25" s="1" t="b">
        <f>ISNUMBER(SEARCH($F$8,Municipios!G27,1))</f>
        <v>0</v>
      </c>
    </row>
    <row r="26" spans="1:6" x14ac:dyDescent="0.25">
      <c r="A26" s="1" t="b">
        <f>ISNUMBER(SEARCH(Popayan_Cali!$F$7,Municipios!G28,1))</f>
        <v>0</v>
      </c>
      <c r="C26" s="1" t="b">
        <f>ISNUMBER(SEARCH($F$8,Municipios!G28,1))</f>
        <v>0</v>
      </c>
    </row>
    <row r="27" spans="1:6" x14ac:dyDescent="0.25">
      <c r="A27" s="1" t="b">
        <f>ISNUMBER(SEARCH(Popayan_Cali!$F$7,Municipios!G29,1))</f>
        <v>0</v>
      </c>
      <c r="C27" s="1" t="b">
        <f>ISNUMBER(SEARCH($F$8,Municipios!G29,1))</f>
        <v>0</v>
      </c>
    </row>
    <row r="28" spans="1:6" x14ac:dyDescent="0.25">
      <c r="A28" s="1" t="b">
        <f>ISNUMBER(SEARCH(Popayan_Cali!$F$7,Municipios!G30,1))</f>
        <v>0</v>
      </c>
      <c r="C28" s="1" t="b">
        <f>ISNUMBER(SEARCH($F$8,Municipios!G30,1))</f>
        <v>0</v>
      </c>
    </row>
    <row r="29" spans="1:6" x14ac:dyDescent="0.25">
      <c r="A29" s="1" t="b">
        <f>ISNUMBER(SEARCH(Popayan_Cali!$F$7,Municipios!G31,1))</f>
        <v>0</v>
      </c>
      <c r="C29" s="1" t="b">
        <f>ISNUMBER(SEARCH($F$8,Municipios!G31,1))</f>
        <v>0</v>
      </c>
    </row>
    <row r="30" spans="1:6" x14ac:dyDescent="0.25">
      <c r="A30" s="1" t="b">
        <f>ISNUMBER(SEARCH(Popayan_Cali!$F$7,Municipios!G32,1))</f>
        <v>0</v>
      </c>
      <c r="C30" s="1" t="b">
        <f>ISNUMBER(SEARCH($F$8,Municipios!G32,1))</f>
        <v>0</v>
      </c>
    </row>
    <row r="31" spans="1:6" x14ac:dyDescent="0.25">
      <c r="A31" s="1" t="b">
        <f>ISNUMBER(SEARCH(Popayan_Cali!$F$7,Municipios!G33,1))</f>
        <v>0</v>
      </c>
      <c r="C31" s="1" t="b">
        <f>ISNUMBER(SEARCH($F$8,Municipios!G33,1))</f>
        <v>0</v>
      </c>
    </row>
    <row r="32" spans="1:6" x14ac:dyDescent="0.25">
      <c r="A32" s="1" t="b">
        <f>ISNUMBER(SEARCH(Popayan_Cali!$F$7,Municipios!G34,1))</f>
        <v>0</v>
      </c>
      <c r="C32" s="1" t="b">
        <f>ISNUMBER(SEARCH($F$8,Municipios!G34,1))</f>
        <v>0</v>
      </c>
    </row>
    <row r="33" spans="1:3" x14ac:dyDescent="0.25">
      <c r="A33" s="1" t="b">
        <f>ISNUMBER(SEARCH(Popayan_Cali!$F$7,Municipios!G35,1))</f>
        <v>0</v>
      </c>
      <c r="C33" s="1" t="b">
        <f>ISNUMBER(SEARCH($F$8,Municipios!G35,1))</f>
        <v>0</v>
      </c>
    </row>
    <row r="34" spans="1:3" x14ac:dyDescent="0.25">
      <c r="A34" s="1" t="b">
        <f>ISNUMBER(SEARCH(Popayan_Cali!$F$7,Municipios!G36,1))</f>
        <v>0</v>
      </c>
      <c r="C34" s="1" t="b">
        <f>ISNUMBER(SEARCH($F$8,Municipios!G36,1))</f>
        <v>0</v>
      </c>
    </row>
    <row r="35" spans="1:3" x14ac:dyDescent="0.25">
      <c r="A35" s="1" t="b">
        <f>ISNUMBER(SEARCH(Popayan_Cali!$F$7,Municipios!G37,1))</f>
        <v>0</v>
      </c>
      <c r="C35" s="1" t="b">
        <f>ISNUMBER(SEARCH($F$8,Municipios!G37,1))</f>
        <v>0</v>
      </c>
    </row>
    <row r="36" spans="1:3" x14ac:dyDescent="0.25">
      <c r="A36" s="1" t="b">
        <f>ISNUMBER(SEARCH(Popayan_Cali!$F$7,Municipios!G38,1))</f>
        <v>0</v>
      </c>
      <c r="C36" s="1" t="b">
        <f>ISNUMBER(SEARCH($F$8,Municipios!G38,1))</f>
        <v>0</v>
      </c>
    </row>
    <row r="37" spans="1:3" x14ac:dyDescent="0.25">
      <c r="A37" s="1" t="b">
        <f>ISNUMBER(SEARCH(Popayan_Cali!$F$7,Municipios!G39,1))</f>
        <v>0</v>
      </c>
      <c r="C37" s="1" t="b">
        <f>ISNUMBER(SEARCH($F$8,Municipios!G39,1))</f>
        <v>0</v>
      </c>
    </row>
    <row r="38" spans="1:3" x14ac:dyDescent="0.25">
      <c r="A38" s="1" t="b">
        <f>ISNUMBER(SEARCH(Popayan_Cali!$F$7,Municipios!G40,1))</f>
        <v>0</v>
      </c>
      <c r="C38" s="1" t="b">
        <f>ISNUMBER(SEARCH($F$8,Municipios!G40,1))</f>
        <v>0</v>
      </c>
    </row>
    <row r="39" spans="1:3" x14ac:dyDescent="0.25">
      <c r="A39" s="1" t="b">
        <f>ISNUMBER(SEARCH(Popayan_Cali!$F$7,Municipios!G41,1))</f>
        <v>0</v>
      </c>
      <c r="C39" s="1" t="b">
        <f>ISNUMBER(SEARCH($F$8,Municipios!G41,1))</f>
        <v>0</v>
      </c>
    </row>
    <row r="40" spans="1:3" x14ac:dyDescent="0.25">
      <c r="A40" s="1" t="b">
        <f>ISNUMBER(SEARCH(Popayan_Cali!$F$7,Municipios!G42,1))</f>
        <v>0</v>
      </c>
      <c r="C40" s="1" t="b">
        <f>ISNUMBER(SEARCH($F$8,Municipios!G42,1))</f>
        <v>0</v>
      </c>
    </row>
    <row r="41" spans="1:3" x14ac:dyDescent="0.25">
      <c r="A41" s="1" t="b">
        <f>ISNUMBER(SEARCH(Popayan_Cali!$F$7,Municipios!G43,1))</f>
        <v>0</v>
      </c>
      <c r="C41" s="1" t="b">
        <f>ISNUMBER(SEARCH($F$8,Municipios!G43,1))</f>
        <v>0</v>
      </c>
    </row>
    <row r="42" spans="1:3" x14ac:dyDescent="0.25">
      <c r="A42" s="1" t="b">
        <f>ISNUMBER(SEARCH(Popayan_Cali!$F$7,Municipios!G44,1))</f>
        <v>0</v>
      </c>
      <c r="C42" s="1" t="b">
        <f>ISNUMBER(SEARCH($F$8,Municipios!G44,1))</f>
        <v>0</v>
      </c>
    </row>
    <row r="43" spans="1:3" x14ac:dyDescent="0.25">
      <c r="A43" s="1" t="b">
        <f>ISNUMBER(SEARCH(Popayan_Cali!$F$7,Municipios!G45,1))</f>
        <v>0</v>
      </c>
      <c r="C43" s="1" t="b">
        <f>ISNUMBER(SEARCH($F$8,Municipios!G45,1))</f>
        <v>0</v>
      </c>
    </row>
    <row r="44" spans="1:3" x14ac:dyDescent="0.25">
      <c r="A44" s="1" t="b">
        <f>ISNUMBER(SEARCH(Popayan_Cali!$F$7,Municipios!G46,1))</f>
        <v>0</v>
      </c>
      <c r="C44" s="1" t="b">
        <f>ISNUMBER(SEARCH($F$8,Municipios!G46,1))</f>
        <v>0</v>
      </c>
    </row>
    <row r="45" spans="1:3" x14ac:dyDescent="0.25">
      <c r="A45" s="1" t="b">
        <f>ISNUMBER(SEARCH(Popayan_Cali!$F$7,Municipios!G47,1))</f>
        <v>0</v>
      </c>
      <c r="C45" s="1" t="b">
        <f>ISNUMBER(SEARCH($F$8,Municipios!G47,1))</f>
        <v>0</v>
      </c>
    </row>
    <row r="46" spans="1:3" x14ac:dyDescent="0.25">
      <c r="A46" s="1" t="b">
        <f>ISNUMBER(SEARCH(Popayan_Cali!$F$7,Municipios!G48,1))</f>
        <v>0</v>
      </c>
      <c r="C46" s="1" t="b">
        <f>ISNUMBER(SEARCH($F$8,Municipios!G48,1))</f>
        <v>0</v>
      </c>
    </row>
    <row r="47" spans="1:3" x14ac:dyDescent="0.25">
      <c r="A47" s="1" t="b">
        <f>ISNUMBER(SEARCH(Popayan_Cali!$F$7,Municipios!G49,1))</f>
        <v>0</v>
      </c>
      <c r="C47" s="1" t="b">
        <f>ISNUMBER(SEARCH($F$8,Municipios!G49,1))</f>
        <v>0</v>
      </c>
    </row>
    <row r="48" spans="1:3" x14ac:dyDescent="0.25">
      <c r="A48" s="1" t="b">
        <f>ISNUMBER(SEARCH(Popayan_Cali!$F$7,Municipios!G50,1))</f>
        <v>0</v>
      </c>
      <c r="C48" s="1" t="b">
        <f>ISNUMBER(SEARCH($F$8,Municipios!G50,1))</f>
        <v>0</v>
      </c>
    </row>
    <row r="49" spans="1:3" x14ac:dyDescent="0.25">
      <c r="A49" s="1" t="b">
        <f>ISNUMBER(SEARCH(Popayan_Cali!$F$7,Municipios!G51,1))</f>
        <v>0</v>
      </c>
      <c r="C49" s="1" t="b">
        <f>ISNUMBER(SEARCH($F$8,Municipios!G51,1))</f>
        <v>0</v>
      </c>
    </row>
    <row r="50" spans="1:3" x14ac:dyDescent="0.25">
      <c r="A50" s="1" t="b">
        <f>ISNUMBER(SEARCH(Popayan_Cali!$F$7,Municipios!G52,1))</f>
        <v>0</v>
      </c>
      <c r="C50" s="1" t="b">
        <f>ISNUMBER(SEARCH($F$8,Municipios!G52,1))</f>
        <v>0</v>
      </c>
    </row>
    <row r="51" spans="1:3" x14ac:dyDescent="0.25">
      <c r="A51" s="1" t="b">
        <f>ISNUMBER(SEARCH(Popayan_Cali!$F$7,Municipios!G53,1))</f>
        <v>0</v>
      </c>
      <c r="C51" s="1" t="b">
        <f>ISNUMBER(SEARCH($F$8,Municipios!G53,1))</f>
        <v>0</v>
      </c>
    </row>
    <row r="52" spans="1:3" x14ac:dyDescent="0.25">
      <c r="A52" s="1" t="b">
        <f>ISNUMBER(SEARCH(Popayan_Cali!$F$7,Municipios!G54,1))</f>
        <v>0</v>
      </c>
      <c r="C52" s="1" t="b">
        <f>ISNUMBER(SEARCH($F$8,Municipios!G54,1))</f>
        <v>0</v>
      </c>
    </row>
    <row r="53" spans="1:3" x14ac:dyDescent="0.25">
      <c r="A53" s="1" t="b">
        <f>ISNUMBER(SEARCH(Popayan_Cali!$F$7,Municipios!G55,1))</f>
        <v>0</v>
      </c>
      <c r="C53" s="1" t="b">
        <f>ISNUMBER(SEARCH($F$8,Municipios!G55,1))</f>
        <v>0</v>
      </c>
    </row>
    <row r="54" spans="1:3" x14ac:dyDescent="0.25">
      <c r="A54" s="1" t="b">
        <f>ISNUMBER(SEARCH(Popayan_Cali!$F$7,Municipios!G56,1))</f>
        <v>0</v>
      </c>
      <c r="C54" s="1" t="b">
        <f>ISNUMBER(SEARCH($F$8,Municipios!G56,1))</f>
        <v>0</v>
      </c>
    </row>
    <row r="55" spans="1:3" x14ac:dyDescent="0.25">
      <c r="A55" s="1" t="b">
        <f>ISNUMBER(SEARCH(Popayan_Cali!$F$7,Municipios!G57,1))</f>
        <v>0</v>
      </c>
      <c r="C55" s="1" t="b">
        <f>ISNUMBER(SEARCH($F$8,Municipios!G57,1))</f>
        <v>0</v>
      </c>
    </row>
    <row r="56" spans="1:3" x14ac:dyDescent="0.25">
      <c r="A56" s="1" t="b">
        <f>ISNUMBER(SEARCH(Popayan_Cali!$F$7,Municipios!G58,1))</f>
        <v>0</v>
      </c>
      <c r="C56" s="1" t="b">
        <f>ISNUMBER(SEARCH($F$8,Municipios!G58,1))</f>
        <v>0</v>
      </c>
    </row>
    <row r="57" spans="1:3" x14ac:dyDescent="0.25">
      <c r="A57" s="1" t="b">
        <f>ISNUMBER(SEARCH(Popayan_Cali!$F$7,Municipios!G59,1))</f>
        <v>0</v>
      </c>
      <c r="C57" s="1" t="b">
        <f>ISNUMBER(SEARCH($F$8,Municipios!G59,1))</f>
        <v>0</v>
      </c>
    </row>
    <row r="58" spans="1:3" x14ac:dyDescent="0.25">
      <c r="A58" s="1" t="b">
        <f>ISNUMBER(SEARCH(Popayan_Cali!$F$7,Municipios!G60,1))</f>
        <v>0</v>
      </c>
      <c r="C58" s="1" t="b">
        <f>ISNUMBER(SEARCH($F$8,Municipios!G60,1))</f>
        <v>0</v>
      </c>
    </row>
    <row r="59" spans="1:3" x14ac:dyDescent="0.25">
      <c r="A59" s="1" t="b">
        <f>ISNUMBER(SEARCH(Popayan_Cali!$F$7,Municipios!G61,1))</f>
        <v>0</v>
      </c>
      <c r="C59" s="1" t="b">
        <f>ISNUMBER(SEARCH($F$8,Municipios!G61,1))</f>
        <v>0</v>
      </c>
    </row>
    <row r="60" spans="1:3" x14ac:dyDescent="0.25">
      <c r="A60" s="1" t="b">
        <f>ISNUMBER(SEARCH(Popayan_Cali!$F$7,Municipios!G62,1))</f>
        <v>0</v>
      </c>
      <c r="C60" s="1" t="b">
        <f>ISNUMBER(SEARCH($F$8,Municipios!G62,1))</f>
        <v>0</v>
      </c>
    </row>
    <row r="61" spans="1:3" x14ac:dyDescent="0.25">
      <c r="A61" s="1" t="b">
        <f>ISNUMBER(SEARCH(Popayan_Cali!$F$7,Municipios!G63,1))</f>
        <v>0</v>
      </c>
      <c r="C61" s="1" t="b">
        <f>ISNUMBER(SEARCH($F$8,Municipios!G63,1))</f>
        <v>0</v>
      </c>
    </row>
    <row r="62" spans="1:3" x14ac:dyDescent="0.25">
      <c r="A62" s="1" t="b">
        <f>ISNUMBER(SEARCH(Popayan_Cali!$F$7,Municipios!G64,1))</f>
        <v>0</v>
      </c>
      <c r="C62" s="1" t="b">
        <f>ISNUMBER(SEARCH($F$8,Municipios!G64,1))</f>
        <v>0</v>
      </c>
    </row>
    <row r="63" spans="1:3" x14ac:dyDescent="0.25">
      <c r="A63" s="1" t="b">
        <f>ISNUMBER(SEARCH(Popayan_Cali!$F$7,Municipios!G65,1))</f>
        <v>0</v>
      </c>
      <c r="C63" s="1" t="b">
        <f>ISNUMBER(SEARCH($F$8,Municipios!G65,1))</f>
        <v>0</v>
      </c>
    </row>
    <row r="64" spans="1:3" x14ac:dyDescent="0.25">
      <c r="A64" s="1" t="b">
        <f>ISNUMBER(SEARCH(Popayan_Cali!$F$7,Municipios!G66,1))</f>
        <v>0</v>
      </c>
      <c r="C64" s="1" t="b">
        <f>ISNUMBER(SEARCH($F$8,Municipios!G66,1))</f>
        <v>0</v>
      </c>
    </row>
    <row r="65" spans="1:3" x14ac:dyDescent="0.25">
      <c r="A65" s="1" t="b">
        <f>ISNUMBER(SEARCH(Popayan_Cali!$F$7,Municipios!G67,1))</f>
        <v>0</v>
      </c>
      <c r="C65" s="1" t="b">
        <f>ISNUMBER(SEARCH($F$8,Municipios!G67,1))</f>
        <v>0</v>
      </c>
    </row>
    <row r="66" spans="1:3" x14ac:dyDescent="0.25">
      <c r="A66" s="1" t="b">
        <f>ISNUMBER(SEARCH(Popayan_Cali!$F$7,Municipios!G68,1))</f>
        <v>0</v>
      </c>
      <c r="C66" s="1" t="b">
        <f>ISNUMBER(SEARCH($F$8,Municipios!G68,1))</f>
        <v>0</v>
      </c>
    </row>
    <row r="67" spans="1:3" x14ac:dyDescent="0.25">
      <c r="A67" s="1" t="b">
        <f>ISNUMBER(SEARCH(Popayan_Cali!$F$7,Municipios!G69,1))</f>
        <v>0</v>
      </c>
      <c r="C67" s="1" t="b">
        <f>ISNUMBER(SEARCH($F$8,Municipios!G69,1))</f>
        <v>0</v>
      </c>
    </row>
    <row r="68" spans="1:3" x14ac:dyDescent="0.25">
      <c r="A68" s="1" t="b">
        <f>ISNUMBER(SEARCH(Popayan_Cali!$F$7,Municipios!G70,1))</f>
        <v>0</v>
      </c>
      <c r="C68" s="1" t="b">
        <f>ISNUMBER(SEARCH($F$8,Municipios!G70,1))</f>
        <v>0</v>
      </c>
    </row>
    <row r="69" spans="1:3" x14ac:dyDescent="0.25">
      <c r="A69" s="1" t="b">
        <f>ISNUMBER(SEARCH(Popayan_Cali!$F$7,Municipios!G71,1))</f>
        <v>0</v>
      </c>
      <c r="C69" s="1" t="b">
        <f>ISNUMBER(SEARCH($F$8,Municipios!G71,1))</f>
        <v>0</v>
      </c>
    </row>
    <row r="70" spans="1:3" x14ac:dyDescent="0.25">
      <c r="A70" s="1" t="b">
        <f>ISNUMBER(SEARCH(Popayan_Cali!$F$7,Municipios!G72,1))</f>
        <v>0</v>
      </c>
      <c r="C70" s="1" t="b">
        <f>ISNUMBER(SEARCH($F$8,Municipios!G72,1))</f>
        <v>0</v>
      </c>
    </row>
    <row r="71" spans="1:3" x14ac:dyDescent="0.25">
      <c r="A71" s="1" t="b">
        <f>ISNUMBER(SEARCH(Popayan_Cali!$F$7,Municipios!G73,1))</f>
        <v>0</v>
      </c>
      <c r="C71" s="1" t="b">
        <f>ISNUMBER(SEARCH($F$8,Municipios!G73,1))</f>
        <v>0</v>
      </c>
    </row>
    <row r="72" spans="1:3" x14ac:dyDescent="0.25">
      <c r="A72" s="1" t="b">
        <f>ISNUMBER(SEARCH(Popayan_Cali!$F$7,Municipios!G74,1))</f>
        <v>0</v>
      </c>
      <c r="C72" s="1" t="b">
        <f>ISNUMBER(SEARCH($F$8,Municipios!G74,1))</f>
        <v>0</v>
      </c>
    </row>
    <row r="73" spans="1:3" x14ac:dyDescent="0.25">
      <c r="A73" s="1" t="b">
        <f>ISNUMBER(SEARCH(Popayan_Cali!$F$7,Municipios!G75,1))</f>
        <v>0</v>
      </c>
      <c r="C73" s="1" t="b">
        <f>ISNUMBER(SEARCH($F$8,Municipios!G75,1))</f>
        <v>0</v>
      </c>
    </row>
    <row r="74" spans="1:3" x14ac:dyDescent="0.25">
      <c r="A74" s="1" t="b">
        <f>ISNUMBER(SEARCH(Popayan_Cali!$F$7,Municipios!G76,1))</f>
        <v>0</v>
      </c>
      <c r="C74" s="1" t="b">
        <f>ISNUMBER(SEARCH($F$8,Municipios!G76,1))</f>
        <v>0</v>
      </c>
    </row>
    <row r="75" spans="1:3" x14ac:dyDescent="0.25">
      <c r="A75" s="1" t="b">
        <f>ISNUMBER(SEARCH(Popayan_Cali!$F$7,Municipios!G77,1))</f>
        <v>0</v>
      </c>
      <c r="C75" s="1" t="b">
        <f>ISNUMBER(SEARCH($F$8,Municipios!G77,1))</f>
        <v>0</v>
      </c>
    </row>
    <row r="76" spans="1:3" x14ac:dyDescent="0.25">
      <c r="A76" s="1" t="b">
        <f>ISNUMBER(SEARCH(Popayan_Cali!$F$7,Municipios!G78,1))</f>
        <v>0</v>
      </c>
      <c r="C76" s="1" t="b">
        <f>ISNUMBER(SEARCH($F$8,Municipios!G78,1))</f>
        <v>0</v>
      </c>
    </row>
    <row r="77" spans="1:3" x14ac:dyDescent="0.25">
      <c r="A77" s="1" t="b">
        <f>ISNUMBER(SEARCH(Popayan_Cali!$F$7,Municipios!G79,1))</f>
        <v>0</v>
      </c>
      <c r="C77" s="1" t="b">
        <f>ISNUMBER(SEARCH($F$8,Municipios!G79,1))</f>
        <v>0</v>
      </c>
    </row>
    <row r="78" spans="1:3" x14ac:dyDescent="0.25">
      <c r="A78" s="1" t="b">
        <f>ISNUMBER(SEARCH(Popayan_Cali!$F$7,Municipios!G80,1))</f>
        <v>0</v>
      </c>
      <c r="C78" s="1" t="b">
        <f>ISNUMBER(SEARCH($F$8,Municipios!G80,1))</f>
        <v>0</v>
      </c>
    </row>
    <row r="79" spans="1:3" x14ac:dyDescent="0.25">
      <c r="A79" s="1" t="b">
        <f>ISNUMBER(SEARCH(Popayan_Cali!$F$7,Municipios!G81,1))</f>
        <v>0</v>
      </c>
      <c r="C79" s="1" t="b">
        <f>ISNUMBER(SEARCH($F$8,Municipios!G81,1))</f>
        <v>0</v>
      </c>
    </row>
    <row r="80" spans="1:3" x14ac:dyDescent="0.25">
      <c r="A80" s="1" t="b">
        <f>ISNUMBER(SEARCH(Popayan_Cali!$F$7,Municipios!G82,1))</f>
        <v>0</v>
      </c>
      <c r="C80" s="1" t="b">
        <f>ISNUMBER(SEARCH($F$8,Municipios!G82,1))</f>
        <v>0</v>
      </c>
    </row>
    <row r="81" spans="1:3" x14ac:dyDescent="0.25">
      <c r="A81" s="1" t="b">
        <f>ISNUMBER(SEARCH(Popayan_Cali!$F$7,Municipios!G83,1))</f>
        <v>0</v>
      </c>
      <c r="C81" s="1" t="b">
        <f>ISNUMBER(SEARCH($F$8,Municipios!G83,1))</f>
        <v>0</v>
      </c>
    </row>
    <row r="82" spans="1:3" x14ac:dyDescent="0.25">
      <c r="A82" s="1" t="b">
        <f>ISNUMBER(SEARCH(Popayan_Cali!$F$7,Municipios!G84,1))</f>
        <v>0</v>
      </c>
      <c r="C82" s="1" t="b">
        <f>ISNUMBER(SEARCH($F$8,Municipios!G84,1))</f>
        <v>0</v>
      </c>
    </row>
    <row r="83" spans="1:3" x14ac:dyDescent="0.25">
      <c r="A83" s="1" t="b">
        <f>ISNUMBER(SEARCH(Popayan_Cali!$F$7,Municipios!G85,1))</f>
        <v>0</v>
      </c>
      <c r="C83" s="1" t="b">
        <f>ISNUMBER(SEARCH($F$8,Municipios!G85,1))</f>
        <v>0</v>
      </c>
    </row>
    <row r="84" spans="1:3" x14ac:dyDescent="0.25">
      <c r="A84" s="1" t="b">
        <f>ISNUMBER(SEARCH(Popayan_Cali!$F$7,Municipios!G86,1))</f>
        <v>0</v>
      </c>
      <c r="C84" s="1" t="b">
        <f>ISNUMBER(SEARCH($F$8,Municipios!G86,1))</f>
        <v>0</v>
      </c>
    </row>
    <row r="85" spans="1:3" x14ac:dyDescent="0.25">
      <c r="A85" s="1" t="b">
        <f>ISNUMBER(SEARCH(Popayan_Cali!$F$7,Municipios!G87,1))</f>
        <v>0</v>
      </c>
      <c r="C85" s="1" t="b">
        <f>ISNUMBER(SEARCH($F$8,Municipios!G87,1))</f>
        <v>0</v>
      </c>
    </row>
    <row r="86" spans="1:3" x14ac:dyDescent="0.25">
      <c r="A86" s="1" t="b">
        <f>ISNUMBER(SEARCH(Popayan_Cali!$F$7,Municipios!G88,1))</f>
        <v>0</v>
      </c>
      <c r="C86" s="1" t="b">
        <f>ISNUMBER(SEARCH($F$8,Municipios!G88,1))</f>
        <v>0</v>
      </c>
    </row>
    <row r="87" spans="1:3" x14ac:dyDescent="0.25">
      <c r="A87" s="1" t="b">
        <f>ISNUMBER(SEARCH(Popayan_Cali!$F$7,Municipios!G89,1))</f>
        <v>0</v>
      </c>
      <c r="C87" s="1" t="b">
        <f>ISNUMBER(SEARCH($F$8,Municipios!G89,1))</f>
        <v>0</v>
      </c>
    </row>
    <row r="88" spans="1:3" x14ac:dyDescent="0.25">
      <c r="A88" s="1" t="b">
        <f>ISNUMBER(SEARCH(Popayan_Cali!$F$7,Municipios!G90,1))</f>
        <v>0</v>
      </c>
      <c r="C88" s="1" t="b">
        <f>ISNUMBER(SEARCH($F$8,Municipios!G90,1))</f>
        <v>0</v>
      </c>
    </row>
    <row r="89" spans="1:3" x14ac:dyDescent="0.25">
      <c r="A89" s="1" t="b">
        <f>ISNUMBER(SEARCH(Popayan_Cali!$F$7,Municipios!G91,1))</f>
        <v>0</v>
      </c>
      <c r="C89" s="1" t="b">
        <f>ISNUMBER(SEARCH($F$8,Municipios!G91,1))</f>
        <v>0</v>
      </c>
    </row>
    <row r="90" spans="1:3" x14ac:dyDescent="0.25">
      <c r="A90" s="1" t="b">
        <f>ISNUMBER(SEARCH(Popayan_Cali!$F$7,Municipios!G92,1))</f>
        <v>0</v>
      </c>
      <c r="C90" s="1" t="b">
        <f>ISNUMBER(SEARCH($F$8,Municipios!G92,1))</f>
        <v>0</v>
      </c>
    </row>
    <row r="91" spans="1:3" x14ac:dyDescent="0.25">
      <c r="A91" s="1" t="b">
        <f>ISNUMBER(SEARCH(Popayan_Cali!$F$7,Municipios!G93,1))</f>
        <v>0</v>
      </c>
      <c r="C91" s="1" t="b">
        <f>ISNUMBER(SEARCH($F$8,Municipios!G93,1))</f>
        <v>0</v>
      </c>
    </row>
    <row r="92" spans="1:3" x14ac:dyDescent="0.25">
      <c r="A92" s="1" t="b">
        <f>ISNUMBER(SEARCH(Popayan_Cali!$F$7,Municipios!G94,1))</f>
        <v>0</v>
      </c>
      <c r="C92" s="1" t="b">
        <f>ISNUMBER(SEARCH($F$8,Municipios!G94,1))</f>
        <v>0</v>
      </c>
    </row>
    <row r="93" spans="1:3" x14ac:dyDescent="0.25">
      <c r="A93" s="1" t="b">
        <f>ISNUMBER(SEARCH(Popayan_Cali!$F$7,Municipios!G95,1))</f>
        <v>0</v>
      </c>
      <c r="C93" s="1" t="b">
        <f>ISNUMBER(SEARCH($F$8,Municipios!G95,1))</f>
        <v>0</v>
      </c>
    </row>
    <row r="94" spans="1:3" x14ac:dyDescent="0.25">
      <c r="A94" s="1" t="b">
        <f>ISNUMBER(SEARCH(Popayan_Cali!$F$7,Municipios!G96,1))</f>
        <v>0</v>
      </c>
      <c r="C94" s="1" t="b">
        <f>ISNUMBER(SEARCH($F$8,Municipios!G96,1))</f>
        <v>0</v>
      </c>
    </row>
    <row r="95" spans="1:3" x14ac:dyDescent="0.25">
      <c r="A95" s="1" t="b">
        <f>ISNUMBER(SEARCH(Popayan_Cali!$F$7,Municipios!G97,1))</f>
        <v>0</v>
      </c>
      <c r="C95" s="1" t="b">
        <f>ISNUMBER(SEARCH($F$8,Municipios!G97,1))</f>
        <v>0</v>
      </c>
    </row>
    <row r="96" spans="1:3" x14ac:dyDescent="0.25">
      <c r="A96" s="1" t="b">
        <f>ISNUMBER(SEARCH(Popayan_Cali!$F$7,Municipios!G98,1))</f>
        <v>0</v>
      </c>
      <c r="C96" s="1" t="b">
        <f>ISNUMBER(SEARCH($F$8,Municipios!G98,1))</f>
        <v>0</v>
      </c>
    </row>
    <row r="97" spans="1:3" x14ac:dyDescent="0.25">
      <c r="A97" s="1" t="b">
        <f>ISNUMBER(SEARCH(Popayan_Cali!$F$7,Municipios!G99,1))</f>
        <v>0</v>
      </c>
      <c r="C97" s="1" t="b">
        <f>ISNUMBER(SEARCH($F$8,Municipios!G99,1))</f>
        <v>0</v>
      </c>
    </row>
    <row r="98" spans="1:3" x14ac:dyDescent="0.25">
      <c r="A98" s="1" t="b">
        <f>ISNUMBER(SEARCH(Popayan_Cali!$F$7,Municipios!G100,1))</f>
        <v>0</v>
      </c>
      <c r="C98" s="1" t="b">
        <f>ISNUMBER(SEARCH($F$8,Municipios!G100,1))</f>
        <v>0</v>
      </c>
    </row>
    <row r="99" spans="1:3" x14ac:dyDescent="0.25">
      <c r="A99" s="1" t="b">
        <f>ISNUMBER(SEARCH(Popayan_Cali!$F$7,Municipios!G101,1))</f>
        <v>0</v>
      </c>
      <c r="C99" s="1" t="b">
        <f>ISNUMBER(SEARCH($F$8,Municipios!G101,1))</f>
        <v>0</v>
      </c>
    </row>
    <row r="100" spans="1:3" x14ac:dyDescent="0.25">
      <c r="A100" s="1" t="b">
        <f>ISNUMBER(SEARCH(Popayan_Cali!$F$7,Municipios!G102,1))</f>
        <v>0</v>
      </c>
      <c r="C100" s="1" t="b">
        <f>ISNUMBER(SEARCH($F$8,Municipios!G102,1))</f>
        <v>0</v>
      </c>
    </row>
    <row r="101" spans="1:3" x14ac:dyDescent="0.25">
      <c r="A101" s="1" t="b">
        <f>ISNUMBER(SEARCH(Popayan_Cali!$F$7,Municipios!G103,1))</f>
        <v>0</v>
      </c>
      <c r="C101" s="1" t="b">
        <f>ISNUMBER(SEARCH($F$8,Municipios!G103,1))</f>
        <v>0</v>
      </c>
    </row>
    <row r="102" spans="1:3" x14ac:dyDescent="0.25">
      <c r="A102" s="1" t="b">
        <f>ISNUMBER(SEARCH(Popayan_Cali!$F$7,Municipios!G104,1))</f>
        <v>0</v>
      </c>
      <c r="C102" s="1" t="b">
        <f>ISNUMBER(SEARCH($F$8,Municipios!G104,1))</f>
        <v>0</v>
      </c>
    </row>
    <row r="103" spans="1:3" x14ac:dyDescent="0.25">
      <c r="A103" s="1" t="b">
        <f>ISNUMBER(SEARCH(Popayan_Cali!$F$7,Municipios!G105,1))</f>
        <v>0</v>
      </c>
      <c r="C103" s="1" t="b">
        <f>ISNUMBER(SEARCH($F$8,Municipios!G105,1))</f>
        <v>0</v>
      </c>
    </row>
    <row r="104" spans="1:3" x14ac:dyDescent="0.25">
      <c r="A104" s="1" t="b">
        <f>ISNUMBER(SEARCH(Popayan_Cali!$F$7,Municipios!G106,1))</f>
        <v>0</v>
      </c>
      <c r="C104" s="1" t="b">
        <f>ISNUMBER(SEARCH($F$8,Municipios!G106,1))</f>
        <v>0</v>
      </c>
    </row>
    <row r="105" spans="1:3" x14ac:dyDescent="0.25">
      <c r="A105" s="1" t="b">
        <f>ISNUMBER(SEARCH(Popayan_Cali!$F$7,Municipios!G107,1))</f>
        <v>0</v>
      </c>
      <c r="C105" s="1" t="b">
        <f>ISNUMBER(SEARCH($F$8,Municipios!G107,1))</f>
        <v>0</v>
      </c>
    </row>
    <row r="106" spans="1:3" x14ac:dyDescent="0.25">
      <c r="A106" s="1" t="b">
        <f>ISNUMBER(SEARCH(Popayan_Cali!$F$7,Municipios!G108,1))</f>
        <v>0</v>
      </c>
      <c r="C106" s="1" t="b">
        <f>ISNUMBER(SEARCH($F$8,Municipios!G108,1))</f>
        <v>0</v>
      </c>
    </row>
    <row r="107" spans="1:3" x14ac:dyDescent="0.25">
      <c r="A107" s="1" t="b">
        <f>ISNUMBER(SEARCH(Popayan_Cali!$F$7,Municipios!G109,1))</f>
        <v>0</v>
      </c>
      <c r="C107" s="1" t="b">
        <f>ISNUMBER(SEARCH($F$8,Municipios!G109,1))</f>
        <v>0</v>
      </c>
    </row>
    <row r="108" spans="1:3" x14ac:dyDescent="0.25">
      <c r="A108" s="1" t="b">
        <f>ISNUMBER(SEARCH(Popayan_Cali!$F$7,Municipios!G110,1))</f>
        <v>0</v>
      </c>
      <c r="C108" s="1" t="b">
        <f>ISNUMBER(SEARCH($F$8,Municipios!G110,1))</f>
        <v>0</v>
      </c>
    </row>
    <row r="109" spans="1:3" x14ac:dyDescent="0.25">
      <c r="A109" s="1" t="b">
        <f>ISNUMBER(SEARCH(Popayan_Cali!$F$7,Municipios!G111,1))</f>
        <v>0</v>
      </c>
      <c r="C109" s="1" t="b">
        <f>ISNUMBER(SEARCH($F$8,Municipios!G111,1))</f>
        <v>0</v>
      </c>
    </row>
    <row r="110" spans="1:3" x14ac:dyDescent="0.25">
      <c r="A110" s="1" t="b">
        <f>ISNUMBER(SEARCH(Popayan_Cali!$F$7,Municipios!G112,1))</f>
        <v>0</v>
      </c>
      <c r="C110" s="1" t="b">
        <f>ISNUMBER(SEARCH($F$8,Municipios!G112,1))</f>
        <v>0</v>
      </c>
    </row>
    <row r="111" spans="1:3" x14ac:dyDescent="0.25">
      <c r="A111" s="1" t="b">
        <f>ISNUMBER(SEARCH(Popayan_Cali!$F$7,Municipios!G113,1))</f>
        <v>0</v>
      </c>
      <c r="C111" s="1" t="b">
        <f>ISNUMBER(SEARCH($F$8,Municipios!G113,1))</f>
        <v>0</v>
      </c>
    </row>
    <row r="112" spans="1:3" x14ac:dyDescent="0.25">
      <c r="A112" s="1" t="b">
        <f>ISNUMBER(SEARCH(Popayan_Cali!$F$7,Municipios!G114,1))</f>
        <v>0</v>
      </c>
      <c r="C112" s="1" t="b">
        <f>ISNUMBER(SEARCH($F$8,Municipios!G114,1))</f>
        <v>0</v>
      </c>
    </row>
    <row r="113" spans="1:3" x14ac:dyDescent="0.25">
      <c r="A113" s="1" t="b">
        <f>ISNUMBER(SEARCH(Popayan_Cali!$F$7,Municipios!G115,1))</f>
        <v>0</v>
      </c>
      <c r="C113" s="1" t="b">
        <f>ISNUMBER(SEARCH($F$8,Municipios!G115,1))</f>
        <v>0</v>
      </c>
    </row>
    <row r="114" spans="1:3" x14ac:dyDescent="0.25">
      <c r="A114" s="1" t="b">
        <f>ISNUMBER(SEARCH(Popayan_Cali!$F$7,Municipios!G116,1))</f>
        <v>0</v>
      </c>
      <c r="C114" s="1" t="b">
        <f>ISNUMBER(SEARCH($F$8,Municipios!G116,1))</f>
        <v>0</v>
      </c>
    </row>
    <row r="115" spans="1:3" x14ac:dyDescent="0.25">
      <c r="A115" s="1" t="b">
        <f>ISNUMBER(SEARCH(Popayan_Cali!$F$7,Municipios!G117,1))</f>
        <v>0</v>
      </c>
      <c r="C115" s="1" t="b">
        <f>ISNUMBER(SEARCH($F$8,Municipios!G117,1))</f>
        <v>0</v>
      </c>
    </row>
    <row r="116" spans="1:3" x14ac:dyDescent="0.25">
      <c r="A116" s="1" t="b">
        <f>ISNUMBER(SEARCH(Popayan_Cali!$F$7,Municipios!G118,1))</f>
        <v>0</v>
      </c>
      <c r="C116" s="1" t="b">
        <f>ISNUMBER(SEARCH($F$8,Municipios!G118,1))</f>
        <v>0</v>
      </c>
    </row>
    <row r="117" spans="1:3" x14ac:dyDescent="0.25">
      <c r="A117" s="1" t="b">
        <f>ISNUMBER(SEARCH(Popayan_Cali!$F$7,Municipios!G119,1))</f>
        <v>0</v>
      </c>
      <c r="C117" s="1" t="b">
        <f>ISNUMBER(SEARCH($F$8,Municipios!G119,1))</f>
        <v>0</v>
      </c>
    </row>
    <row r="118" spans="1:3" x14ac:dyDescent="0.25">
      <c r="A118" s="1" t="b">
        <f>ISNUMBER(SEARCH(Popayan_Cali!$F$7,Municipios!G120,1))</f>
        <v>0</v>
      </c>
      <c r="C118" s="1" t="b">
        <f>ISNUMBER(SEARCH($F$8,Municipios!G120,1))</f>
        <v>0</v>
      </c>
    </row>
    <row r="119" spans="1:3" x14ac:dyDescent="0.25">
      <c r="A119" s="1" t="b">
        <f>ISNUMBER(SEARCH(Popayan_Cali!$F$7,Municipios!G121,1))</f>
        <v>0</v>
      </c>
      <c r="C119" s="1" t="b">
        <f>ISNUMBER(SEARCH($F$8,Municipios!G121,1))</f>
        <v>0</v>
      </c>
    </row>
    <row r="120" spans="1:3" x14ac:dyDescent="0.25">
      <c r="A120" s="1" t="b">
        <f>ISNUMBER(SEARCH(Popayan_Cali!$F$7,Municipios!G122,1))</f>
        <v>0</v>
      </c>
      <c r="C120" s="1" t="b">
        <f>ISNUMBER(SEARCH($F$8,Municipios!G122,1))</f>
        <v>0</v>
      </c>
    </row>
    <row r="121" spans="1:3" x14ac:dyDescent="0.25">
      <c r="A121" s="1" t="b">
        <f>ISNUMBER(SEARCH(Popayan_Cali!$F$7,Municipios!G123,1))</f>
        <v>0</v>
      </c>
      <c r="C121" s="1" t="b">
        <f>ISNUMBER(SEARCH($F$8,Municipios!G123,1))</f>
        <v>0</v>
      </c>
    </row>
    <row r="122" spans="1:3" x14ac:dyDescent="0.25">
      <c r="A122" s="1" t="b">
        <f>ISNUMBER(SEARCH(Popayan_Cali!$F$7,Municipios!G124,1))</f>
        <v>0</v>
      </c>
      <c r="C122" s="1" t="b">
        <f>ISNUMBER(SEARCH($F$8,Municipios!G124,1))</f>
        <v>0</v>
      </c>
    </row>
    <row r="123" spans="1:3" x14ac:dyDescent="0.25">
      <c r="A123" s="1" t="b">
        <f>ISNUMBER(SEARCH(Popayan_Cali!$F$7,Municipios!G125,1))</f>
        <v>0</v>
      </c>
      <c r="C123" s="1" t="b">
        <f>ISNUMBER(SEARCH($F$8,Municipios!G125,1))</f>
        <v>0</v>
      </c>
    </row>
    <row r="124" spans="1:3" x14ac:dyDescent="0.25">
      <c r="A124" s="1" t="b">
        <f>ISNUMBER(SEARCH(Popayan_Cali!$F$7,Municipios!G126,1))</f>
        <v>0</v>
      </c>
      <c r="C124" s="1" t="b">
        <f>ISNUMBER(SEARCH($F$8,Municipios!G126,1))</f>
        <v>0</v>
      </c>
    </row>
    <row r="125" spans="1:3" x14ac:dyDescent="0.25">
      <c r="A125" s="1" t="b">
        <f>ISNUMBER(SEARCH(Popayan_Cali!$F$7,Municipios!G127,1))</f>
        <v>0</v>
      </c>
      <c r="C125" s="1" t="b">
        <f>ISNUMBER(SEARCH($F$8,Municipios!G127,1))</f>
        <v>0</v>
      </c>
    </row>
    <row r="126" spans="1:3" x14ac:dyDescent="0.25">
      <c r="A126" s="1" t="b">
        <f>ISNUMBER(SEARCH(Popayan_Cali!$F$7,Municipios!G128,1))</f>
        <v>0</v>
      </c>
      <c r="C126" s="1" t="b">
        <f>ISNUMBER(SEARCH($F$8,Municipios!G128,1))</f>
        <v>0</v>
      </c>
    </row>
    <row r="127" spans="1:3" x14ac:dyDescent="0.25">
      <c r="A127" s="1" t="b">
        <f>ISNUMBER(SEARCH(Popayan_Cali!$F$7,Municipios!G129,1))</f>
        <v>0</v>
      </c>
      <c r="C127" s="1" t="b">
        <f>ISNUMBER(SEARCH($F$8,Municipios!G129,1))</f>
        <v>0</v>
      </c>
    </row>
    <row r="128" spans="1:3" x14ac:dyDescent="0.25">
      <c r="A128" s="1" t="b">
        <f>ISNUMBER(SEARCH(Popayan_Cali!$F$7,Municipios!G130,1))</f>
        <v>0</v>
      </c>
      <c r="C128" s="1" t="b">
        <f>ISNUMBER(SEARCH($F$8,Municipios!G130,1))</f>
        <v>0</v>
      </c>
    </row>
    <row r="129" spans="1:3" x14ac:dyDescent="0.25">
      <c r="A129" s="1" t="b">
        <f>ISNUMBER(SEARCH(Popayan_Cali!$F$7,Municipios!G131,1))</f>
        <v>0</v>
      </c>
      <c r="C129" s="1" t="b">
        <f>ISNUMBER(SEARCH($F$8,Municipios!G131,1))</f>
        <v>0</v>
      </c>
    </row>
    <row r="130" spans="1:3" x14ac:dyDescent="0.25">
      <c r="A130" s="1" t="b">
        <f>ISNUMBER(SEARCH(Popayan_Cali!$F$7,Municipios!G132,1))</f>
        <v>0</v>
      </c>
      <c r="C130" s="1" t="b">
        <f>ISNUMBER(SEARCH($F$8,Municipios!G132,1))</f>
        <v>0</v>
      </c>
    </row>
    <row r="131" spans="1:3" x14ac:dyDescent="0.25">
      <c r="A131" s="1" t="b">
        <f>ISNUMBER(SEARCH(Popayan_Cali!$F$7,Municipios!G133,1))</f>
        <v>0</v>
      </c>
      <c r="C131" s="1" t="b">
        <f>ISNUMBER(SEARCH($F$8,Municipios!G133,1))</f>
        <v>0</v>
      </c>
    </row>
    <row r="132" spans="1:3" x14ac:dyDescent="0.25">
      <c r="A132" s="1" t="b">
        <f>ISNUMBER(SEARCH(Popayan_Cali!$F$7,Municipios!G134,1))</f>
        <v>0</v>
      </c>
      <c r="C132" s="1" t="b">
        <f>ISNUMBER(SEARCH($F$8,Municipios!G134,1))</f>
        <v>0</v>
      </c>
    </row>
    <row r="133" spans="1:3" x14ac:dyDescent="0.25">
      <c r="A133" s="1" t="b">
        <f>ISNUMBER(SEARCH(Popayan_Cali!$F$7,Municipios!G135,1))</f>
        <v>0</v>
      </c>
      <c r="C133" s="1" t="b">
        <f>ISNUMBER(SEARCH($F$8,Municipios!G135,1))</f>
        <v>0</v>
      </c>
    </row>
    <row r="134" spans="1:3" x14ac:dyDescent="0.25">
      <c r="A134" s="1" t="b">
        <f>ISNUMBER(SEARCH(Popayan_Cali!$F$7,Municipios!G136,1))</f>
        <v>0</v>
      </c>
      <c r="C134" s="1" t="b">
        <f>ISNUMBER(SEARCH($F$8,Municipios!G136,1))</f>
        <v>0</v>
      </c>
    </row>
    <row r="135" spans="1:3" x14ac:dyDescent="0.25">
      <c r="A135" s="1" t="b">
        <f>ISNUMBER(SEARCH(Popayan_Cali!$F$7,Municipios!G137,1))</f>
        <v>0</v>
      </c>
      <c r="C135" s="1" t="b">
        <f>ISNUMBER(SEARCH($F$8,Municipios!G137,1))</f>
        <v>0</v>
      </c>
    </row>
    <row r="136" spans="1:3" x14ac:dyDescent="0.25">
      <c r="A136" s="1" t="b">
        <f>ISNUMBER(SEARCH(Popayan_Cali!$F$7,Municipios!G138,1))</f>
        <v>0</v>
      </c>
      <c r="C136" s="1" t="b">
        <f>ISNUMBER(SEARCH($F$8,Municipios!G138,1))</f>
        <v>0</v>
      </c>
    </row>
    <row r="137" spans="1:3" x14ac:dyDescent="0.25">
      <c r="A137" s="1" t="b">
        <f>ISNUMBER(SEARCH(Popayan_Cali!$F$7,Municipios!G139,1))</f>
        <v>0</v>
      </c>
      <c r="C137" s="1" t="b">
        <f>ISNUMBER(SEARCH($F$8,Municipios!G139,1))</f>
        <v>0</v>
      </c>
    </row>
    <row r="138" spans="1:3" x14ac:dyDescent="0.25">
      <c r="A138" s="1" t="b">
        <f>ISNUMBER(SEARCH(Popayan_Cali!$F$7,Municipios!G140,1))</f>
        <v>0</v>
      </c>
      <c r="C138" s="1" t="b">
        <f>ISNUMBER(SEARCH($F$8,Municipios!G140,1))</f>
        <v>0</v>
      </c>
    </row>
    <row r="139" spans="1:3" x14ac:dyDescent="0.25">
      <c r="A139" s="1" t="b">
        <f>ISNUMBER(SEARCH(Popayan_Cali!$F$7,Municipios!G141,1))</f>
        <v>0</v>
      </c>
      <c r="C139" s="1" t="b">
        <f>ISNUMBER(SEARCH($F$8,Municipios!G141,1))</f>
        <v>0</v>
      </c>
    </row>
    <row r="140" spans="1:3" x14ac:dyDescent="0.25">
      <c r="A140" s="1" t="b">
        <f>ISNUMBER(SEARCH(Popayan_Cali!$F$7,Municipios!G142,1))</f>
        <v>0</v>
      </c>
      <c r="C140" s="1" t="b">
        <f>ISNUMBER(SEARCH($F$8,Municipios!G142,1))</f>
        <v>0</v>
      </c>
    </row>
    <row r="141" spans="1:3" x14ac:dyDescent="0.25">
      <c r="A141" s="1" t="b">
        <f>ISNUMBER(SEARCH(Popayan_Cali!$F$7,Municipios!G143,1))</f>
        <v>0</v>
      </c>
      <c r="C141" s="1" t="b">
        <f>ISNUMBER(SEARCH($F$8,Municipios!G143,1))</f>
        <v>0</v>
      </c>
    </row>
    <row r="142" spans="1:3" x14ac:dyDescent="0.25">
      <c r="A142" s="1" t="b">
        <f>ISNUMBER(SEARCH(Popayan_Cali!$F$7,Municipios!G144,1))</f>
        <v>0</v>
      </c>
      <c r="C142" s="1" t="b">
        <f>ISNUMBER(SEARCH($F$8,Municipios!G144,1))</f>
        <v>0</v>
      </c>
    </row>
    <row r="143" spans="1:3" x14ac:dyDescent="0.25">
      <c r="A143" s="1" t="b">
        <f>ISNUMBER(SEARCH(Popayan_Cali!$F$7,Municipios!G145,1))</f>
        <v>0</v>
      </c>
      <c r="C143" s="1" t="b">
        <f>ISNUMBER(SEARCH($F$8,Municipios!G145,1))</f>
        <v>0</v>
      </c>
    </row>
    <row r="144" spans="1:3" x14ac:dyDescent="0.25">
      <c r="A144" s="1" t="b">
        <f>ISNUMBER(SEARCH(Popayan_Cali!$F$7,Municipios!G146,1))</f>
        <v>0</v>
      </c>
      <c r="C144" s="1" t="b">
        <f>ISNUMBER(SEARCH($F$8,Municipios!G146,1))</f>
        <v>0</v>
      </c>
    </row>
    <row r="145" spans="1:3" x14ac:dyDescent="0.25">
      <c r="A145" s="1" t="b">
        <f>ISNUMBER(SEARCH(Popayan_Cali!$F$7,Municipios!G147,1))</f>
        <v>0</v>
      </c>
      <c r="C145" s="1" t="b">
        <f>ISNUMBER(SEARCH($F$8,Municipios!G147,1))</f>
        <v>0</v>
      </c>
    </row>
    <row r="146" spans="1:3" x14ac:dyDescent="0.25">
      <c r="A146" s="1" t="b">
        <f>ISNUMBER(SEARCH(Popayan_Cali!$F$7,Municipios!G148,1))</f>
        <v>0</v>
      </c>
      <c r="C146" s="1" t="b">
        <f>ISNUMBER(SEARCH($F$8,Municipios!G148,1))</f>
        <v>0</v>
      </c>
    </row>
    <row r="147" spans="1:3" x14ac:dyDescent="0.25">
      <c r="A147" s="1" t="b">
        <f>ISNUMBER(SEARCH(Popayan_Cali!$F$7,Municipios!G149,1))</f>
        <v>0</v>
      </c>
      <c r="C147" s="1" t="b">
        <f>ISNUMBER(SEARCH($F$8,Municipios!G149,1))</f>
        <v>0</v>
      </c>
    </row>
    <row r="148" spans="1:3" x14ac:dyDescent="0.25">
      <c r="A148" s="1" t="b">
        <f>ISNUMBER(SEARCH(Popayan_Cali!$F$7,Municipios!G150,1))</f>
        <v>0</v>
      </c>
      <c r="C148" s="1" t="b">
        <f>ISNUMBER(SEARCH($F$8,Municipios!G150,1))</f>
        <v>0</v>
      </c>
    </row>
    <row r="149" spans="1:3" x14ac:dyDescent="0.25">
      <c r="A149" s="1" t="b">
        <f>ISNUMBER(SEARCH(Popayan_Cali!$F$7,Municipios!G151,1))</f>
        <v>0</v>
      </c>
      <c r="C149" s="1" t="b">
        <f>ISNUMBER(SEARCH($F$8,Municipios!G151,1))</f>
        <v>0</v>
      </c>
    </row>
    <row r="150" spans="1:3" x14ac:dyDescent="0.25">
      <c r="A150" s="1" t="b">
        <f>ISNUMBER(SEARCH(Popayan_Cali!$F$7,Municipios!G152,1))</f>
        <v>0</v>
      </c>
      <c r="C150" s="1" t="b">
        <f>ISNUMBER(SEARCH($F$8,Municipios!G152,1))</f>
        <v>0</v>
      </c>
    </row>
    <row r="151" spans="1:3" x14ac:dyDescent="0.25">
      <c r="A151" s="1" t="b">
        <f>ISNUMBER(SEARCH(Popayan_Cali!$F$7,Municipios!G153,1))</f>
        <v>0</v>
      </c>
      <c r="C151" s="1" t="b">
        <f>ISNUMBER(SEARCH($F$8,Municipios!G153,1))</f>
        <v>0</v>
      </c>
    </row>
    <row r="152" spans="1:3" x14ac:dyDescent="0.25">
      <c r="A152" s="1" t="b">
        <f>ISNUMBER(SEARCH(Popayan_Cali!$F$7,Municipios!G154,1))</f>
        <v>0</v>
      </c>
      <c r="C152" s="1" t="b">
        <f>ISNUMBER(SEARCH($F$8,Municipios!G154,1))</f>
        <v>1</v>
      </c>
    </row>
    <row r="153" spans="1:3" x14ac:dyDescent="0.25">
      <c r="A153" s="1" t="b">
        <f>ISNUMBER(SEARCH(Popayan_Cali!$F$7,Municipios!G155,1))</f>
        <v>0</v>
      </c>
      <c r="C153" s="1" t="b">
        <f>ISNUMBER(SEARCH($F$8,Municipios!G155,1))</f>
        <v>0</v>
      </c>
    </row>
    <row r="154" spans="1:3" x14ac:dyDescent="0.25">
      <c r="A154" s="1" t="b">
        <f>ISNUMBER(SEARCH(Popayan_Cali!$F$7,Municipios!G156,1))</f>
        <v>0</v>
      </c>
      <c r="C154" s="1" t="b">
        <f>ISNUMBER(SEARCH($F$8,Municipios!G156,1))</f>
        <v>0</v>
      </c>
    </row>
    <row r="155" spans="1:3" x14ac:dyDescent="0.25">
      <c r="A155" s="1" t="b">
        <f>ISNUMBER(SEARCH(Popayan_Cali!$F$7,Municipios!G157,1))</f>
        <v>0</v>
      </c>
      <c r="C155" s="1" t="b">
        <f>ISNUMBER(SEARCH($F$8,Municipios!G157,1))</f>
        <v>0</v>
      </c>
    </row>
    <row r="156" spans="1:3" x14ac:dyDescent="0.25">
      <c r="A156" s="1" t="b">
        <f>ISNUMBER(SEARCH(Popayan_Cali!$F$7,Municipios!G158,1))</f>
        <v>0</v>
      </c>
      <c r="C156" s="1" t="b">
        <f>ISNUMBER(SEARCH($F$8,Municipios!G158,1))</f>
        <v>0</v>
      </c>
    </row>
    <row r="157" spans="1:3" x14ac:dyDescent="0.25">
      <c r="A157" s="1" t="b">
        <f>ISNUMBER(SEARCH(Popayan_Cali!$F$7,Municipios!G159,1))</f>
        <v>0</v>
      </c>
      <c r="C157" s="1" t="b">
        <f>ISNUMBER(SEARCH($F$8,Municipios!G159,1))</f>
        <v>0</v>
      </c>
    </row>
    <row r="158" spans="1:3" x14ac:dyDescent="0.25">
      <c r="A158" s="1" t="b">
        <f>ISNUMBER(SEARCH(Popayan_Cali!$F$7,Municipios!G160,1))</f>
        <v>0</v>
      </c>
      <c r="C158" s="1" t="b">
        <f>ISNUMBER(SEARCH($F$8,Municipios!G160,1))</f>
        <v>0</v>
      </c>
    </row>
    <row r="159" spans="1:3" x14ac:dyDescent="0.25">
      <c r="A159" s="1" t="b">
        <f>ISNUMBER(SEARCH(Popayan_Cali!$F$7,Municipios!G161,1))</f>
        <v>0</v>
      </c>
      <c r="C159" s="1" t="b">
        <f>ISNUMBER(SEARCH($F$8,Municipios!G161,1))</f>
        <v>0</v>
      </c>
    </row>
    <row r="160" spans="1:3" x14ac:dyDescent="0.25">
      <c r="A160" s="1" t="b">
        <f>ISNUMBER(SEARCH(Popayan_Cali!$F$7,Municipios!G162,1))</f>
        <v>0</v>
      </c>
      <c r="C160" s="1" t="b">
        <f>ISNUMBER(SEARCH($F$8,Municipios!G162,1))</f>
        <v>0</v>
      </c>
    </row>
    <row r="161" spans="1:3" x14ac:dyDescent="0.25">
      <c r="A161" s="1" t="b">
        <f>ISNUMBER(SEARCH(Popayan_Cali!$F$7,Municipios!G163,1))</f>
        <v>0</v>
      </c>
      <c r="C161" s="1" t="b">
        <f>ISNUMBER(SEARCH($F$8,Municipios!G163,1))</f>
        <v>0</v>
      </c>
    </row>
    <row r="162" spans="1:3" x14ac:dyDescent="0.25">
      <c r="A162" s="1" t="b">
        <f>ISNUMBER(SEARCH(Popayan_Cali!$F$7,Municipios!G164,1))</f>
        <v>0</v>
      </c>
      <c r="C162" s="1" t="b">
        <f>ISNUMBER(SEARCH($F$8,Municipios!G164,1))</f>
        <v>0</v>
      </c>
    </row>
    <row r="163" spans="1:3" x14ac:dyDescent="0.25">
      <c r="A163" s="1" t="b">
        <f>ISNUMBER(SEARCH(Popayan_Cali!$F$7,Municipios!G165,1))</f>
        <v>0</v>
      </c>
      <c r="C163" s="1" t="b">
        <f>ISNUMBER(SEARCH($F$8,Municipios!G165,1))</f>
        <v>0</v>
      </c>
    </row>
    <row r="164" spans="1:3" x14ac:dyDescent="0.25">
      <c r="A164" s="1" t="b">
        <f>ISNUMBER(SEARCH(Popayan_Cali!$F$7,Municipios!G166,1))</f>
        <v>0</v>
      </c>
      <c r="C164" s="1" t="b">
        <f>ISNUMBER(SEARCH($F$8,Municipios!G166,1))</f>
        <v>0</v>
      </c>
    </row>
    <row r="165" spans="1:3" x14ac:dyDescent="0.25">
      <c r="A165" s="1" t="b">
        <f>ISNUMBER(SEARCH(Popayan_Cali!$F$7,Municipios!G167,1))</f>
        <v>0</v>
      </c>
      <c r="C165" s="1" t="b">
        <f>ISNUMBER(SEARCH($F$8,Municipios!G167,1))</f>
        <v>0</v>
      </c>
    </row>
    <row r="166" spans="1:3" x14ac:dyDescent="0.25">
      <c r="A166" s="1" t="b">
        <f>ISNUMBER(SEARCH(Popayan_Cali!$F$7,Municipios!G168,1))</f>
        <v>0</v>
      </c>
      <c r="C166" s="1" t="b">
        <f>ISNUMBER(SEARCH($F$8,Municipios!G168,1))</f>
        <v>0</v>
      </c>
    </row>
    <row r="167" spans="1:3" x14ac:dyDescent="0.25">
      <c r="A167" s="1" t="b">
        <f>ISNUMBER(SEARCH(Popayan_Cali!$F$7,Municipios!G169,1))</f>
        <v>0</v>
      </c>
      <c r="C167" s="1" t="b">
        <f>ISNUMBER(SEARCH($F$8,Municipios!G169,1))</f>
        <v>0</v>
      </c>
    </row>
    <row r="168" spans="1:3" x14ac:dyDescent="0.25">
      <c r="A168" s="1" t="b">
        <f>ISNUMBER(SEARCH(Popayan_Cali!$F$7,Municipios!G170,1))</f>
        <v>0</v>
      </c>
      <c r="C168" s="1" t="b">
        <f>ISNUMBER(SEARCH($F$8,Municipios!G170,1))</f>
        <v>0</v>
      </c>
    </row>
    <row r="169" spans="1:3" x14ac:dyDescent="0.25">
      <c r="A169" s="1" t="b">
        <f>ISNUMBER(SEARCH(Popayan_Cali!$F$7,Municipios!G171,1))</f>
        <v>0</v>
      </c>
      <c r="C169" s="1" t="b">
        <f>ISNUMBER(SEARCH($F$8,Municipios!G171,1))</f>
        <v>0</v>
      </c>
    </row>
    <row r="170" spans="1:3" x14ac:dyDescent="0.25">
      <c r="A170" s="1" t="b">
        <f>ISNUMBER(SEARCH(Popayan_Cali!$F$7,Municipios!G172,1))</f>
        <v>0</v>
      </c>
      <c r="C170" s="1" t="b">
        <f>ISNUMBER(SEARCH($F$8,Municipios!G172,1))</f>
        <v>0</v>
      </c>
    </row>
    <row r="171" spans="1:3" x14ac:dyDescent="0.25">
      <c r="A171" s="1" t="b">
        <f>ISNUMBER(SEARCH(Popayan_Cali!$F$7,Municipios!G173,1))</f>
        <v>0</v>
      </c>
      <c r="C171" s="1" t="b">
        <f>ISNUMBER(SEARCH($F$8,Municipios!G173,1))</f>
        <v>0</v>
      </c>
    </row>
    <row r="172" spans="1:3" x14ac:dyDescent="0.25">
      <c r="A172" s="1" t="b">
        <f>ISNUMBER(SEARCH(Popayan_Cali!$F$7,Municipios!G174,1))</f>
        <v>0</v>
      </c>
      <c r="C172" s="1" t="b">
        <f>ISNUMBER(SEARCH($F$8,Municipios!G174,1))</f>
        <v>0</v>
      </c>
    </row>
    <row r="173" spans="1:3" x14ac:dyDescent="0.25">
      <c r="A173" s="1" t="b">
        <f>ISNUMBER(SEARCH(Popayan_Cali!$F$7,Municipios!G175,1))</f>
        <v>0</v>
      </c>
      <c r="C173" s="1" t="b">
        <f>ISNUMBER(SEARCH($F$8,Municipios!G175,1))</f>
        <v>0</v>
      </c>
    </row>
    <row r="174" spans="1:3" x14ac:dyDescent="0.25">
      <c r="A174" s="1" t="b">
        <f>ISNUMBER(SEARCH(Popayan_Cali!$F$7,Municipios!G176,1))</f>
        <v>0</v>
      </c>
      <c r="C174" s="1" t="b">
        <f>ISNUMBER(SEARCH($F$8,Municipios!G176,1))</f>
        <v>0</v>
      </c>
    </row>
    <row r="175" spans="1:3" x14ac:dyDescent="0.25">
      <c r="A175" s="1" t="b">
        <f>ISNUMBER(SEARCH(Popayan_Cali!$F$7,Municipios!G177,1))</f>
        <v>0</v>
      </c>
      <c r="C175" s="1" t="b">
        <f>ISNUMBER(SEARCH($F$8,Municipios!G177,1))</f>
        <v>0</v>
      </c>
    </row>
    <row r="176" spans="1:3" x14ac:dyDescent="0.25">
      <c r="A176" s="1" t="b">
        <f>ISNUMBER(SEARCH(Popayan_Cali!$F$7,Municipios!G178,1))</f>
        <v>0</v>
      </c>
      <c r="C176" s="1" t="b">
        <f>ISNUMBER(SEARCH($F$8,Municipios!G178,1))</f>
        <v>0</v>
      </c>
    </row>
    <row r="177" spans="1:3" x14ac:dyDescent="0.25">
      <c r="A177" s="1" t="b">
        <f>ISNUMBER(SEARCH(Popayan_Cali!$F$7,Municipios!G179,1))</f>
        <v>0</v>
      </c>
      <c r="C177" s="1" t="b">
        <f>ISNUMBER(SEARCH($F$8,Municipios!G179,1))</f>
        <v>0</v>
      </c>
    </row>
    <row r="178" spans="1:3" x14ac:dyDescent="0.25">
      <c r="A178" s="1" t="b">
        <f>ISNUMBER(SEARCH(Popayan_Cali!$F$7,Municipios!G180,1))</f>
        <v>0</v>
      </c>
      <c r="C178" s="1" t="b">
        <f>ISNUMBER(SEARCH($F$8,Municipios!G180,1))</f>
        <v>0</v>
      </c>
    </row>
    <row r="179" spans="1:3" x14ac:dyDescent="0.25">
      <c r="A179" s="1" t="b">
        <f>ISNUMBER(SEARCH(Popayan_Cali!$F$7,Municipios!G181,1))</f>
        <v>0</v>
      </c>
      <c r="C179" s="1" t="b">
        <f>ISNUMBER(SEARCH($F$8,Municipios!G181,1))</f>
        <v>0</v>
      </c>
    </row>
    <row r="180" spans="1:3" x14ac:dyDescent="0.25">
      <c r="A180" s="1" t="b">
        <f>ISNUMBER(SEARCH(Popayan_Cali!$F$7,Municipios!G182,1))</f>
        <v>0</v>
      </c>
      <c r="C180" s="1" t="b">
        <f>ISNUMBER(SEARCH($F$8,Municipios!G182,1))</f>
        <v>0</v>
      </c>
    </row>
    <row r="181" spans="1:3" x14ac:dyDescent="0.25">
      <c r="A181" s="1" t="b">
        <f>ISNUMBER(SEARCH(Popayan_Cali!$F$7,Municipios!G183,1))</f>
        <v>0</v>
      </c>
      <c r="C181" s="1" t="b">
        <f>ISNUMBER(SEARCH($F$8,Municipios!G183,1))</f>
        <v>0</v>
      </c>
    </row>
    <row r="182" spans="1:3" x14ac:dyDescent="0.25">
      <c r="A182" s="1" t="b">
        <f>ISNUMBER(SEARCH(Popayan_Cali!$F$7,Municipios!G184,1))</f>
        <v>0</v>
      </c>
      <c r="C182" s="1" t="b">
        <f>ISNUMBER(SEARCH($F$8,Municipios!G184,1))</f>
        <v>0</v>
      </c>
    </row>
    <row r="183" spans="1:3" x14ac:dyDescent="0.25">
      <c r="A183" s="1" t="b">
        <f>ISNUMBER(SEARCH(Popayan_Cali!$F$7,Municipios!G185,1))</f>
        <v>0</v>
      </c>
      <c r="C183" s="1" t="b">
        <f>ISNUMBER(SEARCH($F$8,Municipios!G185,1))</f>
        <v>0</v>
      </c>
    </row>
    <row r="184" spans="1:3" x14ac:dyDescent="0.25">
      <c r="A184" s="1" t="b">
        <f>ISNUMBER(SEARCH(Popayan_Cali!$F$7,Municipios!G186,1))</f>
        <v>0</v>
      </c>
      <c r="C184" s="1" t="b">
        <f>ISNUMBER(SEARCH($F$8,Municipios!G186,1))</f>
        <v>0</v>
      </c>
    </row>
    <row r="185" spans="1:3" x14ac:dyDescent="0.25">
      <c r="A185" s="1" t="b">
        <f>ISNUMBER(SEARCH(Popayan_Cali!$F$7,Municipios!G187,1))</f>
        <v>0</v>
      </c>
      <c r="C185" s="1" t="b">
        <f>ISNUMBER(SEARCH($F$8,Municipios!G187,1))</f>
        <v>0</v>
      </c>
    </row>
    <row r="186" spans="1:3" x14ac:dyDescent="0.25">
      <c r="A186" s="1" t="b">
        <f>ISNUMBER(SEARCH(Popayan_Cali!$F$7,Municipios!G188,1))</f>
        <v>0</v>
      </c>
      <c r="C186" s="1" t="b">
        <f>ISNUMBER(SEARCH($F$8,Municipios!G188,1))</f>
        <v>0</v>
      </c>
    </row>
    <row r="187" spans="1:3" x14ac:dyDescent="0.25">
      <c r="A187" s="1" t="b">
        <f>ISNUMBER(SEARCH(Popayan_Cali!$F$7,Municipios!G189,1))</f>
        <v>0</v>
      </c>
      <c r="C187" s="1" t="b">
        <f>ISNUMBER(SEARCH($F$8,Municipios!G189,1))</f>
        <v>0</v>
      </c>
    </row>
    <row r="188" spans="1:3" x14ac:dyDescent="0.25">
      <c r="A188" s="1" t="b">
        <f>ISNUMBER(SEARCH(Popayan_Cali!$F$7,Municipios!G190,1))</f>
        <v>0</v>
      </c>
      <c r="C188" s="1" t="b">
        <f>ISNUMBER(SEARCH($F$8,Municipios!G190,1))</f>
        <v>0</v>
      </c>
    </row>
    <row r="189" spans="1:3" x14ac:dyDescent="0.25">
      <c r="A189" s="1" t="b">
        <f>ISNUMBER(SEARCH(Popayan_Cali!$F$7,Municipios!G191,1))</f>
        <v>0</v>
      </c>
      <c r="C189" s="1" t="b">
        <f>ISNUMBER(SEARCH($F$8,Municipios!G191,1))</f>
        <v>0</v>
      </c>
    </row>
    <row r="190" spans="1:3" x14ac:dyDescent="0.25">
      <c r="A190" s="1" t="b">
        <f>ISNUMBER(SEARCH(Popayan_Cali!$F$7,Municipios!G192,1))</f>
        <v>0</v>
      </c>
      <c r="C190" s="1" t="b">
        <f>ISNUMBER(SEARCH($F$8,Municipios!G192,1))</f>
        <v>0</v>
      </c>
    </row>
    <row r="191" spans="1:3" x14ac:dyDescent="0.25">
      <c r="A191" s="1" t="b">
        <f>ISNUMBER(SEARCH(Popayan_Cali!$F$7,Municipios!G193,1))</f>
        <v>0</v>
      </c>
      <c r="C191" s="1" t="b">
        <f>ISNUMBER(SEARCH($F$8,Municipios!G193,1))</f>
        <v>0</v>
      </c>
    </row>
    <row r="192" spans="1:3" x14ac:dyDescent="0.25">
      <c r="A192" s="1" t="b">
        <f>ISNUMBER(SEARCH(Popayan_Cali!$F$7,Municipios!G194,1))</f>
        <v>0</v>
      </c>
      <c r="C192" s="1" t="b">
        <f>ISNUMBER(SEARCH($F$8,Municipios!G194,1))</f>
        <v>0</v>
      </c>
    </row>
    <row r="193" spans="1:3" x14ac:dyDescent="0.25">
      <c r="A193" s="1" t="b">
        <f>ISNUMBER(SEARCH(Popayan_Cali!$F$7,Municipios!G195,1))</f>
        <v>0</v>
      </c>
      <c r="C193" s="1" t="b">
        <f>ISNUMBER(SEARCH($F$8,Municipios!G195,1))</f>
        <v>0</v>
      </c>
    </row>
    <row r="194" spans="1:3" x14ac:dyDescent="0.25">
      <c r="A194" s="1" t="b">
        <f>ISNUMBER(SEARCH(Popayan_Cali!$F$7,Municipios!G196,1))</f>
        <v>0</v>
      </c>
      <c r="C194" s="1" t="b">
        <f>ISNUMBER(SEARCH($F$8,Municipios!G196,1))</f>
        <v>0</v>
      </c>
    </row>
    <row r="195" spans="1:3" x14ac:dyDescent="0.25">
      <c r="A195" s="1" t="b">
        <f>ISNUMBER(SEARCH(Popayan_Cali!$F$7,Municipios!G197,1))</f>
        <v>0</v>
      </c>
      <c r="C195" s="1" t="b">
        <f>ISNUMBER(SEARCH($F$8,Municipios!G197,1))</f>
        <v>0</v>
      </c>
    </row>
    <row r="196" spans="1:3" x14ac:dyDescent="0.25">
      <c r="A196" s="1" t="b">
        <f>ISNUMBER(SEARCH(Popayan_Cali!$F$7,Municipios!G198,1))</f>
        <v>0</v>
      </c>
      <c r="C196" s="1" t="b">
        <f>ISNUMBER(SEARCH($F$8,Municipios!G198,1))</f>
        <v>0</v>
      </c>
    </row>
    <row r="197" spans="1:3" x14ac:dyDescent="0.25">
      <c r="A197" s="1" t="b">
        <f>ISNUMBER(SEARCH(Popayan_Cali!$F$7,Municipios!G199,1))</f>
        <v>0</v>
      </c>
      <c r="C197" s="1" t="b">
        <f>ISNUMBER(SEARCH($F$8,Municipios!G199,1))</f>
        <v>0</v>
      </c>
    </row>
    <row r="198" spans="1:3" x14ac:dyDescent="0.25">
      <c r="A198" s="1" t="b">
        <f>ISNUMBER(SEARCH(Popayan_Cali!$F$7,Municipios!G200,1))</f>
        <v>0</v>
      </c>
      <c r="C198" s="1" t="b">
        <f>ISNUMBER(SEARCH($F$8,Municipios!G200,1))</f>
        <v>0</v>
      </c>
    </row>
    <row r="199" spans="1:3" x14ac:dyDescent="0.25">
      <c r="A199" s="1" t="b">
        <f>ISNUMBER(SEARCH(Popayan_Cali!$F$7,Municipios!G201,1))</f>
        <v>0</v>
      </c>
      <c r="C199" s="1" t="b">
        <f>ISNUMBER(SEARCH($F$8,Municipios!G201,1))</f>
        <v>0</v>
      </c>
    </row>
    <row r="200" spans="1:3" x14ac:dyDescent="0.25">
      <c r="A200" s="1" t="b">
        <f>ISNUMBER(SEARCH(Popayan_Cali!$F$7,Municipios!G202,1))</f>
        <v>0</v>
      </c>
      <c r="C200" s="1" t="b">
        <f>ISNUMBER(SEARCH($F$8,Municipios!G202,1))</f>
        <v>0</v>
      </c>
    </row>
    <row r="201" spans="1:3" x14ac:dyDescent="0.25">
      <c r="A201" s="1" t="b">
        <f>ISNUMBER(SEARCH(Popayan_Cali!$F$7,Municipios!G203,1))</f>
        <v>0</v>
      </c>
      <c r="C201" s="1" t="b">
        <f>ISNUMBER(SEARCH($F$8,Municipios!G203,1))</f>
        <v>0</v>
      </c>
    </row>
    <row r="202" spans="1:3" x14ac:dyDescent="0.25">
      <c r="A202" s="1" t="b">
        <f>ISNUMBER(SEARCH(Popayan_Cali!$F$7,Municipios!G204,1))</f>
        <v>0</v>
      </c>
      <c r="C202" s="1" t="b">
        <f>ISNUMBER(SEARCH($F$8,Municipios!G204,1))</f>
        <v>0</v>
      </c>
    </row>
    <row r="203" spans="1:3" x14ac:dyDescent="0.25">
      <c r="A203" s="1" t="b">
        <f>ISNUMBER(SEARCH(Popayan_Cali!$F$7,Municipios!G205,1))</f>
        <v>0</v>
      </c>
      <c r="C203" s="1" t="b">
        <f>ISNUMBER(SEARCH($F$8,Municipios!G205,1))</f>
        <v>0</v>
      </c>
    </row>
    <row r="204" spans="1:3" x14ac:dyDescent="0.25">
      <c r="A204" s="1" t="b">
        <f>ISNUMBER(SEARCH(Popayan_Cali!$F$7,Municipios!G206,1))</f>
        <v>0</v>
      </c>
      <c r="C204" s="1" t="b">
        <f>ISNUMBER(SEARCH($F$8,Municipios!G206,1))</f>
        <v>0</v>
      </c>
    </row>
    <row r="205" spans="1:3" x14ac:dyDescent="0.25">
      <c r="A205" s="1" t="b">
        <f>ISNUMBER(SEARCH(Popayan_Cali!$F$7,Municipios!G207,1))</f>
        <v>0</v>
      </c>
      <c r="C205" s="1" t="b">
        <f>ISNUMBER(SEARCH($F$8,Municipios!G207,1))</f>
        <v>0</v>
      </c>
    </row>
    <row r="206" spans="1:3" x14ac:dyDescent="0.25">
      <c r="A206" s="1" t="b">
        <f>ISNUMBER(SEARCH(Popayan_Cali!$F$7,Municipios!G208,1))</f>
        <v>0</v>
      </c>
      <c r="C206" s="1" t="b">
        <f>ISNUMBER(SEARCH($F$8,Municipios!G208,1))</f>
        <v>0</v>
      </c>
    </row>
    <row r="207" spans="1:3" x14ac:dyDescent="0.25">
      <c r="A207" s="1" t="b">
        <f>ISNUMBER(SEARCH(Popayan_Cali!$F$7,Municipios!G209,1))</f>
        <v>0</v>
      </c>
      <c r="C207" s="1" t="b">
        <f>ISNUMBER(SEARCH($F$8,Municipios!G209,1))</f>
        <v>0</v>
      </c>
    </row>
    <row r="208" spans="1:3" x14ac:dyDescent="0.25">
      <c r="A208" s="1" t="b">
        <f>ISNUMBER(SEARCH(Popayan_Cali!$F$7,Municipios!G210,1))</f>
        <v>0</v>
      </c>
      <c r="C208" s="1" t="b">
        <f>ISNUMBER(SEARCH($F$8,Municipios!G210,1))</f>
        <v>0</v>
      </c>
    </row>
    <row r="209" spans="1:3" x14ac:dyDescent="0.25">
      <c r="A209" s="1" t="b">
        <f>ISNUMBER(SEARCH(Popayan_Cali!$F$7,Municipios!G211,1))</f>
        <v>0</v>
      </c>
      <c r="C209" s="1" t="b">
        <f>ISNUMBER(SEARCH($F$8,Municipios!G211,1))</f>
        <v>0</v>
      </c>
    </row>
    <row r="210" spans="1:3" x14ac:dyDescent="0.25">
      <c r="A210" s="1" t="b">
        <f>ISNUMBER(SEARCH(Popayan_Cali!$F$7,Municipios!G212,1))</f>
        <v>0</v>
      </c>
      <c r="C210" s="1" t="b">
        <f>ISNUMBER(SEARCH($F$8,Municipios!G212,1))</f>
        <v>0</v>
      </c>
    </row>
    <row r="211" spans="1:3" x14ac:dyDescent="0.25">
      <c r="A211" s="1" t="b">
        <f>ISNUMBER(SEARCH(Popayan_Cali!$F$7,Municipios!G213,1))</f>
        <v>0</v>
      </c>
      <c r="C211" s="1" t="b">
        <f>ISNUMBER(SEARCH($F$8,Municipios!G213,1))</f>
        <v>0</v>
      </c>
    </row>
    <row r="212" spans="1:3" x14ac:dyDescent="0.25">
      <c r="A212" s="1" t="b">
        <f>ISNUMBER(SEARCH(Popayan_Cali!$F$7,Municipios!G214,1))</f>
        <v>0</v>
      </c>
      <c r="C212" s="1" t="b">
        <f>ISNUMBER(SEARCH($F$8,Municipios!G214,1))</f>
        <v>0</v>
      </c>
    </row>
    <row r="213" spans="1:3" x14ac:dyDescent="0.25">
      <c r="A213" s="1" t="b">
        <f>ISNUMBER(SEARCH(Popayan_Cali!$F$7,Municipios!G215,1))</f>
        <v>0</v>
      </c>
      <c r="C213" s="1" t="b">
        <f>ISNUMBER(SEARCH($F$8,Municipios!G215,1))</f>
        <v>0</v>
      </c>
    </row>
    <row r="214" spans="1:3" x14ac:dyDescent="0.25">
      <c r="A214" s="1" t="b">
        <f>ISNUMBER(SEARCH(Popayan_Cali!$F$7,Municipios!G216,1))</f>
        <v>0</v>
      </c>
      <c r="C214" s="1" t="b">
        <f>ISNUMBER(SEARCH($F$8,Municipios!G216,1))</f>
        <v>0</v>
      </c>
    </row>
    <row r="215" spans="1:3" x14ac:dyDescent="0.25">
      <c r="A215" s="1" t="b">
        <f>ISNUMBER(SEARCH(Popayan_Cali!$F$7,Municipios!G217,1))</f>
        <v>0</v>
      </c>
      <c r="C215" s="1" t="b">
        <f>ISNUMBER(SEARCH($F$8,Municipios!G217,1))</f>
        <v>0</v>
      </c>
    </row>
    <row r="216" spans="1:3" x14ac:dyDescent="0.25">
      <c r="A216" s="1" t="b">
        <f>ISNUMBER(SEARCH(Popayan_Cali!$F$7,Municipios!G218,1))</f>
        <v>0</v>
      </c>
      <c r="C216" s="1" t="b">
        <f>ISNUMBER(SEARCH($F$8,Municipios!G218,1))</f>
        <v>0</v>
      </c>
    </row>
    <row r="217" spans="1:3" x14ac:dyDescent="0.25">
      <c r="A217" s="1" t="b">
        <f>ISNUMBER(SEARCH(Popayan_Cali!$F$7,Municipios!G219,1))</f>
        <v>0</v>
      </c>
      <c r="C217" s="1" t="b">
        <f>ISNUMBER(SEARCH($F$8,Municipios!G219,1))</f>
        <v>0</v>
      </c>
    </row>
    <row r="218" spans="1:3" x14ac:dyDescent="0.25">
      <c r="A218" s="1" t="b">
        <f>ISNUMBER(SEARCH(Popayan_Cali!$F$7,Municipios!G220,1))</f>
        <v>0</v>
      </c>
      <c r="C218" s="1" t="b">
        <f>ISNUMBER(SEARCH($F$8,Municipios!G220,1))</f>
        <v>0</v>
      </c>
    </row>
    <row r="219" spans="1:3" x14ac:dyDescent="0.25">
      <c r="A219" s="1" t="b">
        <f>ISNUMBER(SEARCH(Popayan_Cali!$F$7,Municipios!G221,1))</f>
        <v>0</v>
      </c>
      <c r="C219" s="1" t="b">
        <f>ISNUMBER(SEARCH($F$8,Municipios!G221,1))</f>
        <v>0</v>
      </c>
    </row>
    <row r="220" spans="1:3" x14ac:dyDescent="0.25">
      <c r="A220" s="1" t="b">
        <f>ISNUMBER(SEARCH(Popayan_Cali!$F$7,Municipios!G222,1))</f>
        <v>0</v>
      </c>
      <c r="C220" s="1" t="b">
        <f>ISNUMBER(SEARCH($F$8,Municipios!G222,1))</f>
        <v>0</v>
      </c>
    </row>
    <row r="221" spans="1:3" x14ac:dyDescent="0.25">
      <c r="A221" s="1" t="b">
        <f>ISNUMBER(SEARCH(Popayan_Cali!$F$7,Municipios!G223,1))</f>
        <v>0</v>
      </c>
      <c r="C221" s="1" t="b">
        <f>ISNUMBER(SEARCH($F$8,Municipios!G223,1))</f>
        <v>0</v>
      </c>
    </row>
    <row r="222" spans="1:3" x14ac:dyDescent="0.25">
      <c r="A222" s="1" t="b">
        <f>ISNUMBER(SEARCH(Popayan_Cali!$F$7,Municipios!G224,1))</f>
        <v>0</v>
      </c>
      <c r="C222" s="1" t="b">
        <f>ISNUMBER(SEARCH($F$8,Municipios!G224,1))</f>
        <v>0</v>
      </c>
    </row>
    <row r="223" spans="1:3" x14ac:dyDescent="0.25">
      <c r="A223" s="1" t="b">
        <f>ISNUMBER(SEARCH(Popayan_Cali!$F$7,Municipios!G225,1))</f>
        <v>0</v>
      </c>
      <c r="C223" s="1" t="b">
        <f>ISNUMBER(SEARCH($F$8,Municipios!G225,1))</f>
        <v>0</v>
      </c>
    </row>
    <row r="224" spans="1:3" x14ac:dyDescent="0.25">
      <c r="A224" s="1" t="b">
        <f>ISNUMBER(SEARCH(Popayan_Cali!$F$7,Municipios!G226,1))</f>
        <v>0</v>
      </c>
      <c r="C224" s="1" t="b">
        <f>ISNUMBER(SEARCH($F$8,Municipios!G226,1))</f>
        <v>0</v>
      </c>
    </row>
    <row r="225" spans="1:3" x14ac:dyDescent="0.25">
      <c r="A225" s="1" t="b">
        <f>ISNUMBER(SEARCH(Popayan_Cali!$F$7,Municipios!G227,1))</f>
        <v>0</v>
      </c>
      <c r="C225" s="1" t="b">
        <f>ISNUMBER(SEARCH($F$8,Municipios!G227,1))</f>
        <v>0</v>
      </c>
    </row>
    <row r="226" spans="1:3" x14ac:dyDescent="0.25">
      <c r="A226" s="1" t="b">
        <f>ISNUMBER(SEARCH(Popayan_Cali!$F$7,Municipios!G228,1))</f>
        <v>0</v>
      </c>
      <c r="C226" s="1" t="b">
        <f>ISNUMBER(SEARCH($F$8,Municipios!G228,1))</f>
        <v>0</v>
      </c>
    </row>
    <row r="227" spans="1:3" x14ac:dyDescent="0.25">
      <c r="A227" s="1" t="b">
        <f>ISNUMBER(SEARCH(Popayan_Cali!$F$7,Municipios!G229,1))</f>
        <v>0</v>
      </c>
      <c r="C227" s="1" t="b">
        <f>ISNUMBER(SEARCH($F$8,Municipios!G229,1))</f>
        <v>0</v>
      </c>
    </row>
    <row r="228" spans="1:3" x14ac:dyDescent="0.25">
      <c r="A228" s="1" t="b">
        <f>ISNUMBER(SEARCH(Popayan_Cali!$F$7,Municipios!G230,1))</f>
        <v>0</v>
      </c>
      <c r="C228" s="1" t="b">
        <f>ISNUMBER(SEARCH($F$8,Municipios!G230,1))</f>
        <v>0</v>
      </c>
    </row>
    <row r="229" spans="1:3" x14ac:dyDescent="0.25">
      <c r="A229" s="1" t="b">
        <f>ISNUMBER(SEARCH(Popayan_Cali!$F$7,Municipios!G231,1))</f>
        <v>0</v>
      </c>
      <c r="C229" s="1" t="b">
        <f>ISNUMBER(SEARCH($F$8,Municipios!G231,1))</f>
        <v>0</v>
      </c>
    </row>
    <row r="230" spans="1:3" x14ac:dyDescent="0.25">
      <c r="A230" s="1" t="b">
        <f>ISNUMBER(SEARCH(Popayan_Cali!$F$7,Municipios!G232,1))</f>
        <v>0</v>
      </c>
      <c r="C230" s="1" t="b">
        <f>ISNUMBER(SEARCH($F$8,Municipios!G232,1))</f>
        <v>0</v>
      </c>
    </row>
    <row r="231" spans="1:3" x14ac:dyDescent="0.25">
      <c r="A231" s="1" t="b">
        <f>ISNUMBER(SEARCH(Popayan_Cali!$F$7,Municipios!G233,1))</f>
        <v>0</v>
      </c>
      <c r="C231" s="1" t="b">
        <f>ISNUMBER(SEARCH($F$8,Municipios!G233,1))</f>
        <v>0</v>
      </c>
    </row>
    <row r="232" spans="1:3" x14ac:dyDescent="0.25">
      <c r="A232" s="1" t="b">
        <f>ISNUMBER(SEARCH(Popayan_Cali!$F$7,Municipios!G234,1))</f>
        <v>0</v>
      </c>
      <c r="C232" s="1" t="b">
        <f>ISNUMBER(SEARCH($F$8,Municipios!G234,1))</f>
        <v>0</v>
      </c>
    </row>
    <row r="233" spans="1:3" x14ac:dyDescent="0.25">
      <c r="A233" s="1" t="b">
        <f>ISNUMBER(SEARCH(Popayan_Cali!$F$7,Municipios!G235,1))</f>
        <v>0</v>
      </c>
      <c r="C233" s="1" t="b">
        <f>ISNUMBER(SEARCH($F$8,Municipios!G235,1))</f>
        <v>0</v>
      </c>
    </row>
    <row r="234" spans="1:3" x14ac:dyDescent="0.25">
      <c r="A234" s="1" t="b">
        <f>ISNUMBER(SEARCH(Popayan_Cali!$F$7,Municipios!G236,1))</f>
        <v>0</v>
      </c>
      <c r="C234" s="1" t="b">
        <f>ISNUMBER(SEARCH($F$8,Municipios!G236,1))</f>
        <v>0</v>
      </c>
    </row>
    <row r="235" spans="1:3" x14ac:dyDescent="0.25">
      <c r="A235" s="1" t="b">
        <f>ISNUMBER(SEARCH(Popayan_Cali!$F$7,Municipios!G237,1))</f>
        <v>0</v>
      </c>
      <c r="C235" s="1" t="b">
        <f>ISNUMBER(SEARCH($F$8,Municipios!G237,1))</f>
        <v>0</v>
      </c>
    </row>
    <row r="236" spans="1:3" x14ac:dyDescent="0.25">
      <c r="A236" s="1" t="b">
        <f>ISNUMBER(SEARCH(Popayan_Cali!$F$7,Municipios!G238,1))</f>
        <v>0</v>
      </c>
      <c r="C236" s="1" t="b">
        <f>ISNUMBER(SEARCH($F$8,Municipios!G238,1))</f>
        <v>0</v>
      </c>
    </row>
    <row r="237" spans="1:3" x14ac:dyDescent="0.25">
      <c r="A237" s="1" t="b">
        <f>ISNUMBER(SEARCH(Popayan_Cali!$F$7,Municipios!G239,1))</f>
        <v>0</v>
      </c>
      <c r="C237" s="1" t="b">
        <f>ISNUMBER(SEARCH($F$8,Municipios!G239,1))</f>
        <v>0</v>
      </c>
    </row>
    <row r="238" spans="1:3" x14ac:dyDescent="0.25">
      <c r="A238" s="1" t="b">
        <f>ISNUMBER(SEARCH(Popayan_Cali!$F$7,Municipios!G240,1))</f>
        <v>0</v>
      </c>
      <c r="C238" s="1" t="b">
        <f>ISNUMBER(SEARCH($F$8,Municipios!G240,1))</f>
        <v>0</v>
      </c>
    </row>
    <row r="239" spans="1:3" x14ac:dyDescent="0.25">
      <c r="A239" s="1" t="b">
        <f>ISNUMBER(SEARCH(Popayan_Cali!$F$7,Municipios!G241,1))</f>
        <v>0</v>
      </c>
      <c r="C239" s="1" t="b">
        <f>ISNUMBER(SEARCH($F$8,Municipios!G241,1))</f>
        <v>0</v>
      </c>
    </row>
    <row r="240" spans="1:3" x14ac:dyDescent="0.25">
      <c r="A240" s="1" t="b">
        <f>ISNUMBER(SEARCH(Popayan_Cali!$F$7,Municipios!G242,1))</f>
        <v>0</v>
      </c>
      <c r="C240" s="1" t="b">
        <f>ISNUMBER(SEARCH($F$8,Municipios!G242,1))</f>
        <v>0</v>
      </c>
    </row>
    <row r="241" spans="1:3" x14ac:dyDescent="0.25">
      <c r="A241" s="1" t="b">
        <f>ISNUMBER(SEARCH(Popayan_Cali!$F$7,Municipios!G243,1))</f>
        <v>0</v>
      </c>
      <c r="C241" s="1" t="b">
        <f>ISNUMBER(SEARCH($F$8,Municipios!G243,1))</f>
        <v>0</v>
      </c>
    </row>
    <row r="242" spans="1:3" x14ac:dyDescent="0.25">
      <c r="A242" s="1" t="b">
        <f>ISNUMBER(SEARCH(Popayan_Cali!$F$7,Municipios!G244,1))</f>
        <v>0</v>
      </c>
      <c r="C242" s="1" t="b">
        <f>ISNUMBER(SEARCH($F$8,Municipios!G244,1))</f>
        <v>0</v>
      </c>
    </row>
    <row r="243" spans="1:3" x14ac:dyDescent="0.25">
      <c r="A243" s="1" t="b">
        <f>ISNUMBER(SEARCH(Popayan_Cali!$F$7,Municipios!G245,1))</f>
        <v>0</v>
      </c>
      <c r="C243" s="1" t="b">
        <f>ISNUMBER(SEARCH($F$8,Municipios!G245,1))</f>
        <v>0</v>
      </c>
    </row>
    <row r="244" spans="1:3" x14ac:dyDescent="0.25">
      <c r="A244" s="1" t="b">
        <f>ISNUMBER(SEARCH(Popayan_Cali!$F$7,Municipios!G246,1))</f>
        <v>0</v>
      </c>
      <c r="C244" s="1" t="b">
        <f>ISNUMBER(SEARCH($F$8,Municipios!G246,1))</f>
        <v>0</v>
      </c>
    </row>
    <row r="245" spans="1:3" x14ac:dyDescent="0.25">
      <c r="A245" s="1" t="b">
        <f>ISNUMBER(SEARCH(Popayan_Cali!$F$7,Municipios!G247,1))</f>
        <v>0</v>
      </c>
      <c r="C245" s="1" t="b">
        <f>ISNUMBER(SEARCH($F$8,Municipios!G247,1))</f>
        <v>0</v>
      </c>
    </row>
    <row r="246" spans="1:3" x14ac:dyDescent="0.25">
      <c r="A246" s="1" t="b">
        <f>ISNUMBER(SEARCH(Popayan_Cali!$F$7,Municipios!G248,1))</f>
        <v>0</v>
      </c>
      <c r="C246" s="1" t="b">
        <f>ISNUMBER(SEARCH($F$8,Municipios!G248,1))</f>
        <v>0</v>
      </c>
    </row>
    <row r="247" spans="1:3" x14ac:dyDescent="0.25">
      <c r="A247" s="1" t="b">
        <f>ISNUMBER(SEARCH(Popayan_Cali!$F$7,Municipios!G249,1))</f>
        <v>0</v>
      </c>
      <c r="C247" s="1" t="b">
        <f>ISNUMBER(SEARCH($F$8,Municipios!G249,1))</f>
        <v>0</v>
      </c>
    </row>
    <row r="248" spans="1:3" x14ac:dyDescent="0.25">
      <c r="A248" s="1" t="b">
        <f>ISNUMBER(SEARCH(Popayan_Cali!$F$7,Municipios!G250,1))</f>
        <v>0</v>
      </c>
      <c r="C248" s="1" t="b">
        <f>ISNUMBER(SEARCH($F$8,Municipios!G250,1))</f>
        <v>0</v>
      </c>
    </row>
    <row r="249" spans="1:3" x14ac:dyDescent="0.25">
      <c r="A249" s="1" t="b">
        <f>ISNUMBER(SEARCH(Popayan_Cali!$F$7,Municipios!G251,1))</f>
        <v>0</v>
      </c>
      <c r="C249" s="1" t="b">
        <f>ISNUMBER(SEARCH($F$8,Municipios!G251,1))</f>
        <v>0</v>
      </c>
    </row>
    <row r="250" spans="1:3" x14ac:dyDescent="0.25">
      <c r="A250" s="1" t="b">
        <f>ISNUMBER(SEARCH(Popayan_Cali!$F$7,Municipios!G252,1))</f>
        <v>0</v>
      </c>
      <c r="C250" s="1" t="b">
        <f>ISNUMBER(SEARCH($F$8,Municipios!G252,1))</f>
        <v>0</v>
      </c>
    </row>
    <row r="251" spans="1:3" x14ac:dyDescent="0.25">
      <c r="A251" s="1" t="b">
        <f>ISNUMBER(SEARCH(Popayan_Cali!$F$7,Municipios!G253,1))</f>
        <v>0</v>
      </c>
      <c r="C251" s="1" t="b">
        <f>ISNUMBER(SEARCH($F$8,Municipios!G253,1))</f>
        <v>0</v>
      </c>
    </row>
    <row r="252" spans="1:3" x14ac:dyDescent="0.25">
      <c r="A252" s="1" t="b">
        <f>ISNUMBER(SEARCH(Popayan_Cali!$F$7,Municipios!G254,1))</f>
        <v>0</v>
      </c>
      <c r="C252" s="1" t="b">
        <f>ISNUMBER(SEARCH($F$8,Municipios!G254,1))</f>
        <v>0</v>
      </c>
    </row>
    <row r="253" spans="1:3" x14ac:dyDescent="0.25">
      <c r="A253" s="1" t="b">
        <f>ISNUMBER(SEARCH(Popayan_Cali!$F$7,Municipios!G255,1))</f>
        <v>0</v>
      </c>
      <c r="C253" s="1" t="b">
        <f>ISNUMBER(SEARCH($F$8,Municipios!G255,1))</f>
        <v>0</v>
      </c>
    </row>
    <row r="254" spans="1:3" x14ac:dyDescent="0.25">
      <c r="A254" s="1" t="b">
        <f>ISNUMBER(SEARCH(Popayan_Cali!$F$7,Municipios!G256,1))</f>
        <v>0</v>
      </c>
      <c r="C254" s="1" t="b">
        <f>ISNUMBER(SEARCH($F$8,Municipios!G256,1))</f>
        <v>0</v>
      </c>
    </row>
    <row r="255" spans="1:3" x14ac:dyDescent="0.25">
      <c r="A255" s="1" t="b">
        <f>ISNUMBER(SEARCH(Popayan_Cali!$F$7,Municipios!G257,1))</f>
        <v>0</v>
      </c>
      <c r="C255" s="1" t="b">
        <f>ISNUMBER(SEARCH($F$8,Municipios!G257,1))</f>
        <v>0</v>
      </c>
    </row>
    <row r="256" spans="1:3" x14ac:dyDescent="0.25">
      <c r="A256" s="1" t="b">
        <f>ISNUMBER(SEARCH(Popayan_Cali!$F$7,Municipios!G258,1))</f>
        <v>0</v>
      </c>
      <c r="C256" s="1" t="b">
        <f>ISNUMBER(SEARCH($F$8,Municipios!G258,1))</f>
        <v>0</v>
      </c>
    </row>
    <row r="257" spans="1:3" x14ac:dyDescent="0.25">
      <c r="A257" s="1" t="b">
        <f>ISNUMBER(SEARCH(Popayan_Cali!$F$7,Municipios!G259,1))</f>
        <v>0</v>
      </c>
      <c r="C257" s="1" t="b">
        <f>ISNUMBER(SEARCH($F$8,Municipios!G259,1))</f>
        <v>0</v>
      </c>
    </row>
    <row r="258" spans="1:3" x14ac:dyDescent="0.25">
      <c r="A258" s="1" t="b">
        <f>ISNUMBER(SEARCH(Popayan_Cali!$F$7,Municipios!G260,1))</f>
        <v>0</v>
      </c>
      <c r="C258" s="1" t="b">
        <f>ISNUMBER(SEARCH($F$8,Municipios!G260,1))</f>
        <v>0</v>
      </c>
    </row>
    <row r="259" spans="1:3" x14ac:dyDescent="0.25">
      <c r="A259" s="1" t="b">
        <f>ISNUMBER(SEARCH(Popayan_Cali!$F$7,Municipios!G261,1))</f>
        <v>0</v>
      </c>
      <c r="C259" s="1" t="b">
        <f>ISNUMBER(SEARCH($F$8,Municipios!G261,1))</f>
        <v>0</v>
      </c>
    </row>
    <row r="260" spans="1:3" x14ac:dyDescent="0.25">
      <c r="A260" s="1" t="b">
        <f>ISNUMBER(SEARCH(Popayan_Cali!$F$7,Municipios!G262,1))</f>
        <v>0</v>
      </c>
      <c r="C260" s="1" t="b">
        <f>ISNUMBER(SEARCH($F$8,Municipios!G262,1))</f>
        <v>0</v>
      </c>
    </row>
    <row r="261" spans="1:3" x14ac:dyDescent="0.25">
      <c r="A261" s="1" t="b">
        <f>ISNUMBER(SEARCH(Popayan_Cali!$F$7,Municipios!G263,1))</f>
        <v>0</v>
      </c>
      <c r="C261" s="1" t="b">
        <f>ISNUMBER(SEARCH($F$8,Municipios!G263,1))</f>
        <v>0</v>
      </c>
    </row>
    <row r="262" spans="1:3" x14ac:dyDescent="0.25">
      <c r="A262" s="1" t="b">
        <f>ISNUMBER(SEARCH(Popayan_Cali!$F$7,Municipios!G264,1))</f>
        <v>0</v>
      </c>
      <c r="C262" s="1" t="b">
        <f>ISNUMBER(SEARCH($F$8,Municipios!G264,1))</f>
        <v>0</v>
      </c>
    </row>
    <row r="263" spans="1:3" x14ac:dyDescent="0.25">
      <c r="A263" s="1" t="b">
        <f>ISNUMBER(SEARCH(Popayan_Cali!$F$7,Municipios!G265,1))</f>
        <v>0</v>
      </c>
      <c r="C263" s="1" t="b">
        <f>ISNUMBER(SEARCH($F$8,Municipios!G265,1))</f>
        <v>0</v>
      </c>
    </row>
    <row r="264" spans="1:3" x14ac:dyDescent="0.25">
      <c r="A264" s="1" t="b">
        <f>ISNUMBER(SEARCH(Popayan_Cali!$F$7,Municipios!G266,1))</f>
        <v>0</v>
      </c>
      <c r="C264" s="1" t="b">
        <f>ISNUMBER(SEARCH($F$8,Municipios!G266,1))</f>
        <v>0</v>
      </c>
    </row>
    <row r="265" spans="1:3" x14ac:dyDescent="0.25">
      <c r="A265" s="1" t="b">
        <f>ISNUMBER(SEARCH(Popayan_Cali!$F$7,Municipios!G267,1))</f>
        <v>0</v>
      </c>
      <c r="C265" s="1" t="b">
        <f>ISNUMBER(SEARCH($F$8,Municipios!G267,1))</f>
        <v>0</v>
      </c>
    </row>
    <row r="266" spans="1:3" x14ac:dyDescent="0.25">
      <c r="A266" s="1" t="b">
        <f>ISNUMBER(SEARCH(Popayan_Cali!$F$7,Municipios!G268,1))</f>
        <v>0</v>
      </c>
      <c r="C266" s="1" t="b">
        <f>ISNUMBER(SEARCH($F$8,Municipios!G268,1))</f>
        <v>0</v>
      </c>
    </row>
    <row r="267" spans="1:3" x14ac:dyDescent="0.25">
      <c r="A267" s="1" t="b">
        <f>ISNUMBER(SEARCH(Popayan_Cali!$F$7,Municipios!G269,1))</f>
        <v>0</v>
      </c>
      <c r="C267" s="1" t="b">
        <f>ISNUMBER(SEARCH($F$8,Municipios!G269,1))</f>
        <v>0</v>
      </c>
    </row>
    <row r="268" spans="1:3" x14ac:dyDescent="0.25">
      <c r="A268" s="1" t="b">
        <f>ISNUMBER(SEARCH(Popayan_Cali!$F$7,Municipios!G270,1))</f>
        <v>0</v>
      </c>
      <c r="C268" s="1" t="b">
        <f>ISNUMBER(SEARCH($F$8,Municipios!G270,1))</f>
        <v>0</v>
      </c>
    </row>
    <row r="269" spans="1:3" x14ac:dyDescent="0.25">
      <c r="A269" s="1" t="b">
        <f>ISNUMBER(SEARCH(Popayan_Cali!$F$7,Municipios!G271,1))</f>
        <v>0</v>
      </c>
      <c r="C269" s="1" t="b">
        <f>ISNUMBER(SEARCH($F$8,Municipios!G271,1))</f>
        <v>0</v>
      </c>
    </row>
    <row r="270" spans="1:3" x14ac:dyDescent="0.25">
      <c r="A270" s="1" t="b">
        <f>ISNUMBER(SEARCH(Popayan_Cali!$F$7,Municipios!G272,1))</f>
        <v>0</v>
      </c>
      <c r="C270" s="1" t="b">
        <f>ISNUMBER(SEARCH($F$8,Municipios!G272,1))</f>
        <v>0</v>
      </c>
    </row>
    <row r="271" spans="1:3" x14ac:dyDescent="0.25">
      <c r="A271" s="1" t="b">
        <f>ISNUMBER(SEARCH(Popayan_Cali!$F$7,Municipios!G273,1))</f>
        <v>0</v>
      </c>
      <c r="C271" s="1" t="b">
        <f>ISNUMBER(SEARCH($F$8,Municipios!G273,1))</f>
        <v>0</v>
      </c>
    </row>
    <row r="272" spans="1:3" x14ac:dyDescent="0.25">
      <c r="A272" s="1" t="b">
        <f>ISNUMBER(SEARCH(Popayan_Cali!$F$7,Municipios!G274,1))</f>
        <v>0</v>
      </c>
      <c r="C272" s="1" t="b">
        <f>ISNUMBER(SEARCH($F$8,Municipios!G274,1))</f>
        <v>0</v>
      </c>
    </row>
    <row r="273" spans="1:3" x14ac:dyDescent="0.25">
      <c r="A273" s="1" t="b">
        <f>ISNUMBER(SEARCH(Popayan_Cali!$F$7,Municipios!G275,1))</f>
        <v>0</v>
      </c>
      <c r="C273" s="1" t="b">
        <f>ISNUMBER(SEARCH($F$8,Municipios!G275,1))</f>
        <v>0</v>
      </c>
    </row>
    <row r="274" spans="1:3" x14ac:dyDescent="0.25">
      <c r="A274" s="1" t="b">
        <f>ISNUMBER(SEARCH(Popayan_Cali!$F$7,Municipios!G276,1))</f>
        <v>0</v>
      </c>
      <c r="C274" s="1" t="b">
        <f>ISNUMBER(SEARCH($F$8,Municipios!G276,1))</f>
        <v>0</v>
      </c>
    </row>
    <row r="275" spans="1:3" x14ac:dyDescent="0.25">
      <c r="A275" s="1" t="b">
        <f>ISNUMBER(SEARCH(Popayan_Cali!$F$7,Municipios!G277,1))</f>
        <v>0</v>
      </c>
      <c r="C275" s="1" t="b">
        <f>ISNUMBER(SEARCH($F$8,Municipios!G277,1))</f>
        <v>0</v>
      </c>
    </row>
    <row r="276" spans="1:3" x14ac:dyDescent="0.25">
      <c r="A276" s="1" t="b">
        <f>ISNUMBER(SEARCH(Popayan_Cali!$F$7,Municipios!G278,1))</f>
        <v>0</v>
      </c>
      <c r="C276" s="1" t="b">
        <f>ISNUMBER(SEARCH($F$8,Municipios!G278,1))</f>
        <v>0</v>
      </c>
    </row>
    <row r="277" spans="1:3" x14ac:dyDescent="0.25">
      <c r="A277" s="1" t="b">
        <f>ISNUMBER(SEARCH(Popayan_Cali!$F$7,Municipios!G279,1))</f>
        <v>0</v>
      </c>
      <c r="C277" s="1" t="b">
        <f>ISNUMBER(SEARCH($F$8,Municipios!G279,1))</f>
        <v>0</v>
      </c>
    </row>
    <row r="278" spans="1:3" x14ac:dyDescent="0.25">
      <c r="A278" s="1" t="b">
        <f>ISNUMBER(SEARCH(Popayan_Cali!$F$7,Municipios!G280,1))</f>
        <v>0</v>
      </c>
      <c r="C278" s="1" t="b">
        <f>ISNUMBER(SEARCH($F$8,Municipios!G280,1))</f>
        <v>0</v>
      </c>
    </row>
    <row r="279" spans="1:3" x14ac:dyDescent="0.25">
      <c r="A279" s="1" t="b">
        <f>ISNUMBER(SEARCH(Popayan_Cali!$F$7,Municipios!G281,1))</f>
        <v>0</v>
      </c>
      <c r="C279" s="1" t="b">
        <f>ISNUMBER(SEARCH($F$8,Municipios!G281,1))</f>
        <v>0</v>
      </c>
    </row>
    <row r="280" spans="1:3" x14ac:dyDescent="0.25">
      <c r="A280" s="1" t="b">
        <f>ISNUMBER(SEARCH(Popayan_Cali!$F$7,Municipios!G282,1))</f>
        <v>0</v>
      </c>
      <c r="C280" s="1" t="b">
        <f>ISNUMBER(SEARCH($F$8,Municipios!G282,1))</f>
        <v>0</v>
      </c>
    </row>
    <row r="281" spans="1:3" x14ac:dyDescent="0.25">
      <c r="A281" s="1" t="b">
        <f>ISNUMBER(SEARCH(Popayan_Cali!$F$7,Municipios!G283,1))</f>
        <v>0</v>
      </c>
      <c r="C281" s="1" t="b">
        <f>ISNUMBER(SEARCH($F$8,Municipios!G283,1))</f>
        <v>0</v>
      </c>
    </row>
    <row r="282" spans="1:3" x14ac:dyDescent="0.25">
      <c r="A282" s="1" t="b">
        <f>ISNUMBER(SEARCH(Popayan_Cali!$F$7,Municipios!G284,1))</f>
        <v>0</v>
      </c>
      <c r="C282" s="1" t="b">
        <f>ISNUMBER(SEARCH($F$8,Municipios!G284,1))</f>
        <v>0</v>
      </c>
    </row>
    <row r="283" spans="1:3" x14ac:dyDescent="0.25">
      <c r="A283" s="1" t="b">
        <f>ISNUMBER(SEARCH(Popayan_Cali!$F$7,Municipios!G285,1))</f>
        <v>0</v>
      </c>
      <c r="C283" s="1" t="b">
        <f>ISNUMBER(SEARCH($F$8,Municipios!G285,1))</f>
        <v>0</v>
      </c>
    </row>
    <row r="284" spans="1:3" x14ac:dyDescent="0.25">
      <c r="A284" s="1" t="b">
        <f>ISNUMBER(SEARCH(Popayan_Cali!$F$7,Municipios!G286,1))</f>
        <v>0</v>
      </c>
      <c r="C284" s="1" t="b">
        <f>ISNUMBER(SEARCH($F$8,Municipios!G286,1))</f>
        <v>0</v>
      </c>
    </row>
    <row r="285" spans="1:3" x14ac:dyDescent="0.25">
      <c r="A285" s="1" t="b">
        <f>ISNUMBER(SEARCH(Popayan_Cali!$F$7,Municipios!G287,1))</f>
        <v>0</v>
      </c>
      <c r="C285" s="1" t="b">
        <f>ISNUMBER(SEARCH($F$8,Municipios!G287,1))</f>
        <v>0</v>
      </c>
    </row>
    <row r="286" spans="1:3" x14ac:dyDescent="0.25">
      <c r="A286" s="1" t="b">
        <f>ISNUMBER(SEARCH(Popayan_Cali!$F$7,Municipios!G288,1))</f>
        <v>0</v>
      </c>
      <c r="C286" s="1" t="b">
        <f>ISNUMBER(SEARCH($F$8,Municipios!G288,1))</f>
        <v>0</v>
      </c>
    </row>
    <row r="287" spans="1:3" x14ac:dyDescent="0.25">
      <c r="A287" s="1" t="b">
        <f>ISNUMBER(SEARCH(Popayan_Cali!$F$7,Municipios!G289,1))</f>
        <v>0</v>
      </c>
      <c r="C287" s="1" t="b">
        <f>ISNUMBER(SEARCH($F$8,Municipios!G289,1))</f>
        <v>0</v>
      </c>
    </row>
    <row r="288" spans="1:3" x14ac:dyDescent="0.25">
      <c r="A288" s="1" t="b">
        <f>ISNUMBER(SEARCH(Popayan_Cali!$F$7,Municipios!G290,1))</f>
        <v>0</v>
      </c>
      <c r="C288" s="1" t="b">
        <f>ISNUMBER(SEARCH($F$8,Municipios!G290,1))</f>
        <v>0</v>
      </c>
    </row>
    <row r="289" spans="1:3" x14ac:dyDescent="0.25">
      <c r="A289" s="1" t="b">
        <f>ISNUMBER(SEARCH(Popayan_Cali!$F$7,Municipios!G291,1))</f>
        <v>0</v>
      </c>
      <c r="C289" s="1" t="b">
        <f>ISNUMBER(SEARCH($F$8,Municipios!G291,1))</f>
        <v>0</v>
      </c>
    </row>
    <row r="290" spans="1:3" x14ac:dyDescent="0.25">
      <c r="A290" s="1" t="b">
        <f>ISNUMBER(SEARCH(Popayan_Cali!$F$7,Municipios!G292,1))</f>
        <v>0</v>
      </c>
      <c r="C290" s="1" t="b">
        <f>ISNUMBER(SEARCH($F$8,Municipios!G292,1))</f>
        <v>0</v>
      </c>
    </row>
    <row r="291" spans="1:3" x14ac:dyDescent="0.25">
      <c r="A291" s="1" t="b">
        <f>ISNUMBER(SEARCH(Popayan_Cali!$F$7,Municipios!G293,1))</f>
        <v>0</v>
      </c>
      <c r="C291" s="1" t="b">
        <f>ISNUMBER(SEARCH($F$8,Municipios!G293,1))</f>
        <v>0</v>
      </c>
    </row>
    <row r="292" spans="1:3" x14ac:dyDescent="0.25">
      <c r="A292" s="1" t="b">
        <f>ISNUMBER(SEARCH(Popayan_Cali!$F$7,Municipios!G294,1))</f>
        <v>0</v>
      </c>
      <c r="C292" s="1" t="b">
        <f>ISNUMBER(SEARCH($F$8,Municipios!G294,1))</f>
        <v>0</v>
      </c>
    </row>
    <row r="293" spans="1:3" x14ac:dyDescent="0.25">
      <c r="A293" s="1" t="b">
        <f>ISNUMBER(SEARCH(Popayan_Cali!$F$7,Municipios!G295,1))</f>
        <v>0</v>
      </c>
      <c r="C293" s="1" t="b">
        <f>ISNUMBER(SEARCH($F$8,Municipios!G295,1))</f>
        <v>0</v>
      </c>
    </row>
    <row r="294" spans="1:3" x14ac:dyDescent="0.25">
      <c r="A294" s="1" t="b">
        <f>ISNUMBER(SEARCH(Popayan_Cali!$F$7,Municipios!G296,1))</f>
        <v>0</v>
      </c>
      <c r="C294" s="1" t="b">
        <f>ISNUMBER(SEARCH($F$8,Municipios!G296,1))</f>
        <v>0</v>
      </c>
    </row>
    <row r="295" spans="1:3" x14ac:dyDescent="0.25">
      <c r="A295" s="1" t="b">
        <f>ISNUMBER(SEARCH(Popayan_Cali!$F$7,Municipios!G297,1))</f>
        <v>0</v>
      </c>
      <c r="C295" s="1" t="b">
        <f>ISNUMBER(SEARCH($F$8,Municipios!G297,1))</f>
        <v>0</v>
      </c>
    </row>
    <row r="296" spans="1:3" x14ac:dyDescent="0.25">
      <c r="A296" s="1" t="b">
        <f>ISNUMBER(SEARCH(Popayan_Cali!$F$7,Municipios!G298,1))</f>
        <v>0</v>
      </c>
      <c r="C296" s="1" t="b">
        <f>ISNUMBER(SEARCH($F$8,Municipios!G298,1))</f>
        <v>0</v>
      </c>
    </row>
    <row r="297" spans="1:3" x14ac:dyDescent="0.25">
      <c r="A297" s="1" t="b">
        <f>ISNUMBER(SEARCH(Popayan_Cali!$F$7,Municipios!G299,1))</f>
        <v>0</v>
      </c>
      <c r="C297" s="1" t="b">
        <f>ISNUMBER(SEARCH($F$8,Municipios!G299,1))</f>
        <v>0</v>
      </c>
    </row>
    <row r="298" spans="1:3" x14ac:dyDescent="0.25">
      <c r="A298" s="1" t="b">
        <f>ISNUMBER(SEARCH(Popayan_Cali!$F$7,Municipios!G300,1))</f>
        <v>0</v>
      </c>
      <c r="C298" s="1" t="b">
        <f>ISNUMBER(SEARCH($F$8,Municipios!G300,1))</f>
        <v>0</v>
      </c>
    </row>
    <row r="299" spans="1:3" x14ac:dyDescent="0.25">
      <c r="A299" s="1" t="b">
        <f>ISNUMBER(SEARCH(Popayan_Cali!$F$7,Municipios!G301,1))</f>
        <v>0</v>
      </c>
      <c r="C299" s="1" t="b">
        <f>ISNUMBER(SEARCH($F$8,Municipios!G301,1))</f>
        <v>0</v>
      </c>
    </row>
    <row r="300" spans="1:3" x14ac:dyDescent="0.25">
      <c r="A300" s="1" t="b">
        <f>ISNUMBER(SEARCH(Popayan_Cali!$F$7,Municipios!G302,1))</f>
        <v>0</v>
      </c>
      <c r="C300" s="1" t="b">
        <f>ISNUMBER(SEARCH($F$8,Municipios!G302,1))</f>
        <v>0</v>
      </c>
    </row>
    <row r="301" spans="1:3" x14ac:dyDescent="0.25">
      <c r="A301" s="1" t="b">
        <f>ISNUMBER(SEARCH(Popayan_Cali!$F$7,Municipios!G303,1))</f>
        <v>0</v>
      </c>
      <c r="C301" s="1" t="b">
        <f>ISNUMBER(SEARCH($F$8,Municipios!G303,1))</f>
        <v>0</v>
      </c>
    </row>
    <row r="302" spans="1:3" x14ac:dyDescent="0.25">
      <c r="A302" s="1" t="b">
        <f>ISNUMBER(SEARCH(Popayan_Cali!$F$7,Municipios!G304,1))</f>
        <v>0</v>
      </c>
      <c r="C302" s="1" t="b">
        <f>ISNUMBER(SEARCH($F$8,Municipios!G304,1))</f>
        <v>0</v>
      </c>
    </row>
    <row r="303" spans="1:3" x14ac:dyDescent="0.25">
      <c r="A303" s="1" t="b">
        <f>ISNUMBER(SEARCH(Popayan_Cali!$F$7,Municipios!G305,1))</f>
        <v>0</v>
      </c>
      <c r="C303" s="1" t="b">
        <f>ISNUMBER(SEARCH($F$8,Municipios!G305,1))</f>
        <v>0</v>
      </c>
    </row>
    <row r="304" spans="1:3" x14ac:dyDescent="0.25">
      <c r="A304" s="1" t="b">
        <f>ISNUMBER(SEARCH(Popayan_Cali!$F$7,Municipios!G306,1))</f>
        <v>0</v>
      </c>
      <c r="C304" s="1" t="b">
        <f>ISNUMBER(SEARCH($F$8,Municipios!G306,1))</f>
        <v>0</v>
      </c>
    </row>
    <row r="305" spans="1:3" x14ac:dyDescent="0.25">
      <c r="A305" s="1" t="b">
        <f>ISNUMBER(SEARCH(Popayan_Cali!$F$7,Municipios!G307,1))</f>
        <v>0</v>
      </c>
      <c r="C305" s="1" t="b">
        <f>ISNUMBER(SEARCH($F$8,Municipios!G307,1))</f>
        <v>0</v>
      </c>
    </row>
    <row r="306" spans="1:3" x14ac:dyDescent="0.25">
      <c r="A306" s="1" t="b">
        <f>ISNUMBER(SEARCH(Popayan_Cali!$F$7,Municipios!G308,1))</f>
        <v>0</v>
      </c>
      <c r="C306" s="1" t="b">
        <f>ISNUMBER(SEARCH($F$8,Municipios!G308,1))</f>
        <v>0</v>
      </c>
    </row>
    <row r="307" spans="1:3" x14ac:dyDescent="0.25">
      <c r="A307" s="1" t="b">
        <f>ISNUMBER(SEARCH(Popayan_Cali!$F$7,Municipios!G309,1))</f>
        <v>0</v>
      </c>
      <c r="C307" s="1" t="b">
        <f>ISNUMBER(SEARCH($F$8,Municipios!G309,1))</f>
        <v>0</v>
      </c>
    </row>
    <row r="308" spans="1:3" x14ac:dyDescent="0.25">
      <c r="A308" s="1" t="b">
        <f>ISNUMBER(SEARCH(Popayan_Cali!$F$7,Municipios!G310,1))</f>
        <v>0</v>
      </c>
      <c r="C308" s="1" t="b">
        <f>ISNUMBER(SEARCH($F$8,Municipios!G310,1))</f>
        <v>0</v>
      </c>
    </row>
    <row r="309" spans="1:3" x14ac:dyDescent="0.25">
      <c r="A309" s="1" t="b">
        <f>ISNUMBER(SEARCH(Popayan_Cali!$F$7,Municipios!G311,1))</f>
        <v>0</v>
      </c>
      <c r="C309" s="1" t="b">
        <f>ISNUMBER(SEARCH($F$8,Municipios!G311,1))</f>
        <v>0</v>
      </c>
    </row>
    <row r="310" spans="1:3" x14ac:dyDescent="0.25">
      <c r="A310" s="1" t="b">
        <f>ISNUMBER(SEARCH(Popayan_Cali!$F$7,Municipios!G312,1))</f>
        <v>0</v>
      </c>
      <c r="C310" s="1" t="b">
        <f>ISNUMBER(SEARCH($F$8,Municipios!G312,1))</f>
        <v>0</v>
      </c>
    </row>
    <row r="311" spans="1:3" x14ac:dyDescent="0.25">
      <c r="A311" s="1" t="b">
        <f>ISNUMBER(SEARCH(Popayan_Cali!$F$7,Municipios!G313,1))</f>
        <v>0</v>
      </c>
      <c r="C311" s="1" t="b">
        <f>ISNUMBER(SEARCH($F$8,Municipios!G313,1))</f>
        <v>0</v>
      </c>
    </row>
    <row r="312" spans="1:3" x14ac:dyDescent="0.25">
      <c r="A312" s="1" t="b">
        <f>ISNUMBER(SEARCH(Popayan_Cali!$F$7,Municipios!G314,1))</f>
        <v>0</v>
      </c>
      <c r="C312" s="1" t="b">
        <f>ISNUMBER(SEARCH($F$8,Municipios!G314,1))</f>
        <v>0</v>
      </c>
    </row>
    <row r="313" spans="1:3" x14ac:dyDescent="0.25">
      <c r="A313" s="1" t="b">
        <f>ISNUMBER(SEARCH(Popayan_Cali!$F$7,Municipios!G315,1))</f>
        <v>0</v>
      </c>
      <c r="C313" s="1" t="b">
        <f>ISNUMBER(SEARCH($F$8,Municipios!G315,1))</f>
        <v>0</v>
      </c>
    </row>
    <row r="314" spans="1:3" x14ac:dyDescent="0.25">
      <c r="A314" s="1" t="b">
        <f>ISNUMBER(SEARCH(Popayan_Cali!$F$7,Municipios!G316,1))</f>
        <v>0</v>
      </c>
      <c r="C314" s="1" t="b">
        <f>ISNUMBER(SEARCH($F$8,Municipios!G316,1))</f>
        <v>0</v>
      </c>
    </row>
    <row r="315" spans="1:3" x14ac:dyDescent="0.25">
      <c r="A315" s="1" t="b">
        <f>ISNUMBER(SEARCH(Popayan_Cali!$F$7,Municipios!G317,1))</f>
        <v>0</v>
      </c>
      <c r="C315" s="1" t="b">
        <f>ISNUMBER(SEARCH($F$8,Municipios!G317,1))</f>
        <v>0</v>
      </c>
    </row>
    <row r="316" spans="1:3" x14ac:dyDescent="0.25">
      <c r="A316" s="1" t="b">
        <f>ISNUMBER(SEARCH(Popayan_Cali!$F$7,Municipios!G318,1))</f>
        <v>0</v>
      </c>
      <c r="C316" s="1" t="b">
        <f>ISNUMBER(SEARCH($F$8,Municipios!G318,1))</f>
        <v>0</v>
      </c>
    </row>
    <row r="317" spans="1:3" x14ac:dyDescent="0.25">
      <c r="A317" s="1" t="b">
        <f>ISNUMBER(SEARCH(Popayan_Cali!$F$7,Municipios!G319,1))</f>
        <v>0</v>
      </c>
      <c r="C317" s="1" t="b">
        <f>ISNUMBER(SEARCH($F$8,Municipios!G319,1))</f>
        <v>0</v>
      </c>
    </row>
    <row r="318" spans="1:3" x14ac:dyDescent="0.25">
      <c r="A318" s="1" t="b">
        <f>ISNUMBER(SEARCH(Popayan_Cali!$F$7,Municipios!G320,1))</f>
        <v>0</v>
      </c>
      <c r="C318" s="1" t="b">
        <f>ISNUMBER(SEARCH($F$8,Municipios!G320,1))</f>
        <v>0</v>
      </c>
    </row>
    <row r="319" spans="1:3" x14ac:dyDescent="0.25">
      <c r="A319" s="1" t="b">
        <f>ISNUMBER(SEARCH(Popayan_Cali!$F$7,Municipios!G321,1))</f>
        <v>0</v>
      </c>
      <c r="C319" s="1" t="b">
        <f>ISNUMBER(SEARCH($F$8,Municipios!G321,1))</f>
        <v>0</v>
      </c>
    </row>
    <row r="320" spans="1:3" x14ac:dyDescent="0.25">
      <c r="A320" s="1" t="b">
        <f>ISNUMBER(SEARCH(Popayan_Cali!$F$7,Municipios!G322,1))</f>
        <v>0</v>
      </c>
      <c r="C320" s="1" t="b">
        <f>ISNUMBER(SEARCH($F$8,Municipios!G322,1))</f>
        <v>0</v>
      </c>
    </row>
    <row r="321" spans="1:3" x14ac:dyDescent="0.25">
      <c r="A321" s="1" t="b">
        <f>ISNUMBER(SEARCH(Popayan_Cali!$F$7,Municipios!G323,1))</f>
        <v>0</v>
      </c>
      <c r="C321" s="1" t="b">
        <f>ISNUMBER(SEARCH($F$8,Municipios!G323,1))</f>
        <v>0</v>
      </c>
    </row>
    <row r="322" spans="1:3" x14ac:dyDescent="0.25">
      <c r="A322" s="1" t="b">
        <f>ISNUMBER(SEARCH(Popayan_Cali!$F$7,Municipios!G324,1))</f>
        <v>0</v>
      </c>
      <c r="C322" s="1" t="b">
        <f>ISNUMBER(SEARCH($F$8,Municipios!G324,1))</f>
        <v>0</v>
      </c>
    </row>
    <row r="323" spans="1:3" x14ac:dyDescent="0.25">
      <c r="A323" s="1" t="b">
        <f>ISNUMBER(SEARCH(Popayan_Cali!$F$7,Municipios!G325,1))</f>
        <v>0</v>
      </c>
      <c r="C323" s="1" t="b">
        <f>ISNUMBER(SEARCH($F$8,Municipios!G325,1))</f>
        <v>0</v>
      </c>
    </row>
    <row r="324" spans="1:3" x14ac:dyDescent="0.25">
      <c r="A324" s="1" t="b">
        <f>ISNUMBER(SEARCH(Popayan_Cali!$F$7,Municipios!G326,1))</f>
        <v>0</v>
      </c>
      <c r="C324" s="1" t="b">
        <f>ISNUMBER(SEARCH($F$8,Municipios!G326,1))</f>
        <v>0</v>
      </c>
    </row>
    <row r="325" spans="1:3" x14ac:dyDescent="0.25">
      <c r="A325" s="1" t="b">
        <f>ISNUMBER(SEARCH(Popayan_Cali!$F$7,Municipios!G327,1))</f>
        <v>0</v>
      </c>
      <c r="C325" s="1" t="b">
        <f>ISNUMBER(SEARCH($F$8,Municipios!G327,1))</f>
        <v>0</v>
      </c>
    </row>
    <row r="326" spans="1:3" x14ac:dyDescent="0.25">
      <c r="A326" s="1" t="b">
        <f>ISNUMBER(SEARCH(Popayan_Cali!$F$7,Municipios!G328,1))</f>
        <v>0</v>
      </c>
      <c r="C326" s="1" t="b">
        <f>ISNUMBER(SEARCH($F$8,Municipios!G328,1))</f>
        <v>0</v>
      </c>
    </row>
    <row r="327" spans="1:3" x14ac:dyDescent="0.25">
      <c r="A327" s="1" t="b">
        <f>ISNUMBER(SEARCH(Popayan_Cali!$F$7,Municipios!G329,1))</f>
        <v>0</v>
      </c>
      <c r="C327" s="1" t="b">
        <f>ISNUMBER(SEARCH($F$8,Municipios!G329,1))</f>
        <v>0</v>
      </c>
    </row>
    <row r="328" spans="1:3" x14ac:dyDescent="0.25">
      <c r="A328" s="1" t="b">
        <f>ISNUMBER(SEARCH(Popayan_Cali!$F$7,Municipios!G330,1))</f>
        <v>0</v>
      </c>
      <c r="C328" s="1" t="b">
        <f>ISNUMBER(SEARCH($F$8,Municipios!G330,1))</f>
        <v>0</v>
      </c>
    </row>
    <row r="329" spans="1:3" x14ac:dyDescent="0.25">
      <c r="A329" s="1" t="b">
        <f>ISNUMBER(SEARCH(Popayan_Cali!$F$7,Municipios!G331,1))</f>
        <v>0</v>
      </c>
      <c r="C329" s="1" t="b">
        <f>ISNUMBER(SEARCH($F$8,Municipios!G331,1))</f>
        <v>0</v>
      </c>
    </row>
    <row r="330" spans="1:3" x14ac:dyDescent="0.25">
      <c r="A330" s="1" t="b">
        <f>ISNUMBER(SEARCH(Popayan_Cali!$F$7,Municipios!G332,1))</f>
        <v>0</v>
      </c>
      <c r="C330" s="1" t="b">
        <f>ISNUMBER(SEARCH($F$8,Municipios!G332,1))</f>
        <v>0</v>
      </c>
    </row>
    <row r="331" spans="1:3" x14ac:dyDescent="0.25">
      <c r="A331" s="1" t="b">
        <f>ISNUMBER(SEARCH(Popayan_Cali!$F$7,Municipios!G333,1))</f>
        <v>0</v>
      </c>
      <c r="C331" s="1" t="b">
        <f>ISNUMBER(SEARCH($F$8,Municipios!G333,1))</f>
        <v>0</v>
      </c>
    </row>
    <row r="332" spans="1:3" x14ac:dyDescent="0.25">
      <c r="A332" s="1" t="b">
        <f>ISNUMBER(SEARCH(Popayan_Cali!$F$7,Municipios!G334,1))</f>
        <v>0</v>
      </c>
      <c r="C332" s="1" t="b">
        <f>ISNUMBER(SEARCH($F$8,Municipios!G334,1))</f>
        <v>0</v>
      </c>
    </row>
    <row r="333" spans="1:3" x14ac:dyDescent="0.25">
      <c r="A333" s="1" t="b">
        <f>ISNUMBER(SEARCH(Popayan_Cali!$F$7,Municipios!G335,1))</f>
        <v>0</v>
      </c>
      <c r="C333" s="1" t="b">
        <f>ISNUMBER(SEARCH($F$8,Municipios!G335,1))</f>
        <v>0</v>
      </c>
    </row>
    <row r="334" spans="1:3" x14ac:dyDescent="0.25">
      <c r="A334" s="1" t="b">
        <f>ISNUMBER(SEARCH(Popayan_Cali!$F$7,Municipios!G336,1))</f>
        <v>0</v>
      </c>
      <c r="C334" s="1" t="b">
        <f>ISNUMBER(SEARCH($F$8,Municipios!G336,1))</f>
        <v>0</v>
      </c>
    </row>
    <row r="335" spans="1:3" x14ac:dyDescent="0.25">
      <c r="A335" s="1" t="b">
        <f>ISNUMBER(SEARCH(Popayan_Cali!$F$7,Municipios!G337,1))</f>
        <v>0</v>
      </c>
      <c r="C335" s="1" t="b">
        <f>ISNUMBER(SEARCH($F$8,Municipios!G337,1))</f>
        <v>0</v>
      </c>
    </row>
    <row r="336" spans="1:3" x14ac:dyDescent="0.25">
      <c r="A336" s="1" t="b">
        <f>ISNUMBER(SEARCH(Popayan_Cali!$F$7,Municipios!G338,1))</f>
        <v>0</v>
      </c>
      <c r="C336" s="1" t="b">
        <f>ISNUMBER(SEARCH($F$8,Municipios!G338,1))</f>
        <v>0</v>
      </c>
    </row>
    <row r="337" spans="1:3" x14ac:dyDescent="0.25">
      <c r="A337" s="1" t="b">
        <f>ISNUMBER(SEARCH(Popayan_Cali!$F$7,Municipios!G339,1))</f>
        <v>0</v>
      </c>
      <c r="C337" s="1" t="b">
        <f>ISNUMBER(SEARCH($F$8,Municipios!G339,1))</f>
        <v>0</v>
      </c>
    </row>
    <row r="338" spans="1:3" x14ac:dyDescent="0.25">
      <c r="A338" s="1" t="b">
        <f>ISNUMBER(SEARCH(Popayan_Cali!$F$7,Municipios!G340,1))</f>
        <v>0</v>
      </c>
      <c r="C338" s="1" t="b">
        <f>ISNUMBER(SEARCH($F$8,Municipios!G340,1))</f>
        <v>0</v>
      </c>
    </row>
    <row r="339" spans="1:3" x14ac:dyDescent="0.25">
      <c r="A339" s="1" t="b">
        <f>ISNUMBER(SEARCH(Popayan_Cali!$F$7,Municipios!G341,1))</f>
        <v>0</v>
      </c>
      <c r="C339" s="1" t="b">
        <f>ISNUMBER(SEARCH($F$8,Municipios!G341,1))</f>
        <v>0</v>
      </c>
    </row>
    <row r="340" spans="1:3" x14ac:dyDescent="0.25">
      <c r="A340" s="1" t="b">
        <f>ISNUMBER(SEARCH(Popayan_Cali!$F$7,Municipios!G342,1))</f>
        <v>0</v>
      </c>
      <c r="C340" s="1" t="b">
        <f>ISNUMBER(SEARCH($F$8,Municipios!G342,1))</f>
        <v>0</v>
      </c>
    </row>
    <row r="341" spans="1:3" x14ac:dyDescent="0.25">
      <c r="A341" s="1" t="b">
        <f>ISNUMBER(SEARCH(Popayan_Cali!$F$7,Municipios!G343,1))</f>
        <v>0</v>
      </c>
      <c r="C341" s="1" t="b">
        <f>ISNUMBER(SEARCH($F$8,Municipios!G343,1))</f>
        <v>0</v>
      </c>
    </row>
    <row r="342" spans="1:3" x14ac:dyDescent="0.25">
      <c r="A342" s="1" t="b">
        <f>ISNUMBER(SEARCH(Popayan_Cali!$F$7,Municipios!G344,1))</f>
        <v>0</v>
      </c>
      <c r="C342" s="1" t="b">
        <f>ISNUMBER(SEARCH($F$8,Municipios!G344,1))</f>
        <v>0</v>
      </c>
    </row>
    <row r="343" spans="1:3" x14ac:dyDescent="0.25">
      <c r="A343" s="1" t="b">
        <f>ISNUMBER(SEARCH(Popayan_Cali!$F$7,Municipios!G345,1))</f>
        <v>0</v>
      </c>
      <c r="C343" s="1" t="b">
        <f>ISNUMBER(SEARCH($F$8,Municipios!G345,1))</f>
        <v>0</v>
      </c>
    </row>
    <row r="344" spans="1:3" x14ac:dyDescent="0.25">
      <c r="A344" s="1" t="b">
        <f>ISNUMBER(SEARCH(Popayan_Cali!$F$7,Municipios!G346,1))</f>
        <v>0</v>
      </c>
      <c r="C344" s="1" t="b">
        <f>ISNUMBER(SEARCH($F$8,Municipios!G346,1))</f>
        <v>0</v>
      </c>
    </row>
    <row r="345" spans="1:3" x14ac:dyDescent="0.25">
      <c r="A345" s="1" t="b">
        <f>ISNUMBER(SEARCH(Popayan_Cali!$F$7,Municipios!G347,1))</f>
        <v>0</v>
      </c>
      <c r="C345" s="1" t="b">
        <f>ISNUMBER(SEARCH($F$8,Municipios!G347,1))</f>
        <v>0</v>
      </c>
    </row>
    <row r="346" spans="1:3" x14ac:dyDescent="0.25">
      <c r="A346" s="1" t="b">
        <f>ISNUMBER(SEARCH(Popayan_Cali!$F$7,Municipios!G348,1))</f>
        <v>0</v>
      </c>
      <c r="C346" s="1" t="b">
        <f>ISNUMBER(SEARCH($F$8,Municipios!G348,1))</f>
        <v>0</v>
      </c>
    </row>
    <row r="347" spans="1:3" x14ac:dyDescent="0.25">
      <c r="A347" s="1" t="b">
        <f>ISNUMBER(SEARCH(Popayan_Cali!$F$7,Municipios!G349,1))</f>
        <v>0</v>
      </c>
      <c r="C347" s="1" t="b">
        <f>ISNUMBER(SEARCH($F$8,Municipios!G349,1))</f>
        <v>0</v>
      </c>
    </row>
    <row r="348" spans="1:3" x14ac:dyDescent="0.25">
      <c r="A348" s="1" t="b">
        <f>ISNUMBER(SEARCH(Popayan_Cali!$F$7,Municipios!G350,1))</f>
        <v>0</v>
      </c>
      <c r="C348" s="1" t="b">
        <f>ISNUMBER(SEARCH($F$8,Municipios!G350,1))</f>
        <v>0</v>
      </c>
    </row>
    <row r="349" spans="1:3" x14ac:dyDescent="0.25">
      <c r="A349" s="1" t="b">
        <f>ISNUMBER(SEARCH(Popayan_Cali!$F$7,Municipios!G351,1))</f>
        <v>0</v>
      </c>
      <c r="C349" s="1" t="b">
        <f>ISNUMBER(SEARCH($F$8,Municipios!G351,1))</f>
        <v>0</v>
      </c>
    </row>
    <row r="350" spans="1:3" x14ac:dyDescent="0.25">
      <c r="A350" s="1" t="b">
        <f>ISNUMBER(SEARCH(Popayan_Cali!$F$7,Municipios!G352,1))</f>
        <v>0</v>
      </c>
      <c r="C350" s="1" t="b">
        <f>ISNUMBER(SEARCH($F$8,Municipios!G352,1))</f>
        <v>0</v>
      </c>
    </row>
    <row r="351" spans="1:3" x14ac:dyDescent="0.25">
      <c r="A351" s="1" t="b">
        <f>ISNUMBER(SEARCH(Popayan_Cali!$F$7,Municipios!G353,1))</f>
        <v>0</v>
      </c>
      <c r="C351" s="1" t="b">
        <f>ISNUMBER(SEARCH($F$8,Municipios!G353,1))</f>
        <v>0</v>
      </c>
    </row>
    <row r="352" spans="1:3" x14ac:dyDescent="0.25">
      <c r="A352" s="1" t="b">
        <f>ISNUMBER(SEARCH(Popayan_Cali!$F$7,Municipios!G354,1))</f>
        <v>0</v>
      </c>
      <c r="C352" s="1" t="b">
        <f>ISNUMBER(SEARCH($F$8,Municipios!G354,1))</f>
        <v>0</v>
      </c>
    </row>
    <row r="353" spans="1:3" x14ac:dyDescent="0.25">
      <c r="A353" s="1" t="b">
        <f>ISNUMBER(SEARCH(Popayan_Cali!$F$7,Municipios!G355,1))</f>
        <v>0</v>
      </c>
      <c r="C353" s="1" t="b">
        <f>ISNUMBER(SEARCH($F$8,Municipios!G355,1))</f>
        <v>0</v>
      </c>
    </row>
    <row r="354" spans="1:3" x14ac:dyDescent="0.25">
      <c r="A354" s="1" t="b">
        <f>ISNUMBER(SEARCH(Popayan_Cali!$F$7,Municipios!G356,1))</f>
        <v>0</v>
      </c>
      <c r="C354" s="1" t="b">
        <f>ISNUMBER(SEARCH($F$8,Municipios!G356,1))</f>
        <v>0</v>
      </c>
    </row>
    <row r="355" spans="1:3" x14ac:dyDescent="0.25">
      <c r="A355" s="1" t="b">
        <f>ISNUMBER(SEARCH(Popayan_Cali!$F$7,Municipios!G357,1))</f>
        <v>0</v>
      </c>
      <c r="C355" s="1" t="b">
        <f>ISNUMBER(SEARCH($F$8,Municipios!G357,1))</f>
        <v>0</v>
      </c>
    </row>
    <row r="356" spans="1:3" x14ac:dyDescent="0.25">
      <c r="A356" s="1" t="b">
        <f>ISNUMBER(SEARCH(Popayan_Cali!$F$7,Municipios!G358,1))</f>
        <v>0</v>
      </c>
      <c r="C356" s="1" t="b">
        <f>ISNUMBER(SEARCH($F$8,Municipios!G358,1))</f>
        <v>0</v>
      </c>
    </row>
    <row r="357" spans="1:3" x14ac:dyDescent="0.25">
      <c r="A357" s="1" t="b">
        <f>ISNUMBER(SEARCH(Popayan_Cali!$F$7,Municipios!G359,1))</f>
        <v>0</v>
      </c>
      <c r="C357" s="1" t="b">
        <f>ISNUMBER(SEARCH($F$8,Municipios!G359,1))</f>
        <v>0</v>
      </c>
    </row>
    <row r="358" spans="1:3" x14ac:dyDescent="0.25">
      <c r="A358" s="1" t="b">
        <f>ISNUMBER(SEARCH(Popayan_Cali!$F$7,Municipios!G360,1))</f>
        <v>0</v>
      </c>
      <c r="C358" s="1" t="b">
        <f>ISNUMBER(SEARCH($F$8,Municipios!G360,1))</f>
        <v>0</v>
      </c>
    </row>
    <row r="359" spans="1:3" x14ac:dyDescent="0.25">
      <c r="A359" s="1" t="b">
        <f>ISNUMBER(SEARCH(Popayan_Cali!$F$7,Municipios!G361,1))</f>
        <v>0</v>
      </c>
      <c r="C359" s="1" t="b">
        <f>ISNUMBER(SEARCH($F$8,Municipios!G361,1))</f>
        <v>0</v>
      </c>
    </row>
    <row r="360" spans="1:3" x14ac:dyDescent="0.25">
      <c r="A360" s="1" t="b">
        <f>ISNUMBER(SEARCH(Popayan_Cali!$F$7,Municipios!G362,1))</f>
        <v>0</v>
      </c>
      <c r="C360" s="1" t="b">
        <f>ISNUMBER(SEARCH($F$8,Municipios!G362,1))</f>
        <v>0</v>
      </c>
    </row>
    <row r="361" spans="1:3" x14ac:dyDescent="0.25">
      <c r="A361" s="1" t="b">
        <f>ISNUMBER(SEARCH(Popayan_Cali!$F$7,Municipios!G363,1))</f>
        <v>0</v>
      </c>
      <c r="C361" s="1" t="b">
        <f>ISNUMBER(SEARCH($F$8,Municipios!G363,1))</f>
        <v>0</v>
      </c>
    </row>
    <row r="362" spans="1:3" x14ac:dyDescent="0.25">
      <c r="A362" s="1" t="b">
        <f>ISNUMBER(SEARCH(Popayan_Cali!$F$7,Municipios!G364,1))</f>
        <v>0</v>
      </c>
      <c r="C362" s="1" t="b">
        <f>ISNUMBER(SEARCH($F$8,Municipios!G364,1))</f>
        <v>0</v>
      </c>
    </row>
    <row r="363" spans="1:3" x14ac:dyDescent="0.25">
      <c r="A363" s="1" t="b">
        <f>ISNUMBER(SEARCH(Popayan_Cali!$F$7,Municipios!G365,1))</f>
        <v>0</v>
      </c>
      <c r="C363" s="1" t="b">
        <f>ISNUMBER(SEARCH($F$8,Municipios!G365,1))</f>
        <v>0</v>
      </c>
    </row>
    <row r="364" spans="1:3" x14ac:dyDescent="0.25">
      <c r="A364" s="1" t="b">
        <f>ISNUMBER(SEARCH(Popayan_Cali!$F$7,Municipios!G366,1))</f>
        <v>0</v>
      </c>
      <c r="C364" s="1" t="b">
        <f>ISNUMBER(SEARCH($F$8,Municipios!G366,1))</f>
        <v>0</v>
      </c>
    </row>
    <row r="365" spans="1:3" x14ac:dyDescent="0.25">
      <c r="A365" s="1" t="b">
        <f>ISNUMBER(SEARCH(Popayan_Cali!$F$7,Municipios!G367,1))</f>
        <v>0</v>
      </c>
      <c r="C365" s="1" t="b">
        <f>ISNUMBER(SEARCH($F$8,Municipios!G367,1))</f>
        <v>0</v>
      </c>
    </row>
    <row r="366" spans="1:3" x14ac:dyDescent="0.25">
      <c r="A366" s="1" t="b">
        <f>ISNUMBER(SEARCH(Popayan_Cali!$F$7,Municipios!G368,1))</f>
        <v>0</v>
      </c>
      <c r="C366" s="1" t="b">
        <f>ISNUMBER(SEARCH($F$8,Municipios!G368,1))</f>
        <v>0</v>
      </c>
    </row>
    <row r="367" spans="1:3" x14ac:dyDescent="0.25">
      <c r="A367" s="1" t="b">
        <f>ISNUMBER(SEARCH(Popayan_Cali!$F$7,Municipios!G369,1))</f>
        <v>0</v>
      </c>
      <c r="C367" s="1" t="b">
        <f>ISNUMBER(SEARCH($F$8,Municipios!G369,1))</f>
        <v>0</v>
      </c>
    </row>
    <row r="368" spans="1:3" x14ac:dyDescent="0.25">
      <c r="A368" s="1" t="b">
        <f>ISNUMBER(SEARCH(Popayan_Cali!$F$7,Municipios!G370,1))</f>
        <v>0</v>
      </c>
      <c r="C368" s="1" t="b">
        <f>ISNUMBER(SEARCH($F$8,Municipios!G370,1))</f>
        <v>0</v>
      </c>
    </row>
    <row r="369" spans="1:3" x14ac:dyDescent="0.25">
      <c r="A369" s="1" t="b">
        <f>ISNUMBER(SEARCH(Popayan_Cali!$F$7,Municipios!G371,1))</f>
        <v>0</v>
      </c>
      <c r="C369" s="1" t="b">
        <f>ISNUMBER(SEARCH($F$8,Municipios!G371,1))</f>
        <v>0</v>
      </c>
    </row>
    <row r="370" spans="1:3" x14ac:dyDescent="0.25">
      <c r="A370" s="1" t="b">
        <f>ISNUMBER(SEARCH(Popayan_Cali!$F$7,Municipios!G372,1))</f>
        <v>0</v>
      </c>
      <c r="C370" s="1" t="b">
        <f>ISNUMBER(SEARCH($F$8,Municipios!G372,1))</f>
        <v>0</v>
      </c>
    </row>
    <row r="371" spans="1:3" x14ac:dyDescent="0.25">
      <c r="A371" s="1" t="b">
        <f>ISNUMBER(SEARCH(Popayan_Cali!$F$7,Municipios!G373,1))</f>
        <v>0</v>
      </c>
      <c r="C371" s="1" t="b">
        <f>ISNUMBER(SEARCH($F$8,Municipios!G373,1))</f>
        <v>0</v>
      </c>
    </row>
    <row r="372" spans="1:3" x14ac:dyDescent="0.25">
      <c r="A372" s="1" t="b">
        <f>ISNUMBER(SEARCH(Popayan_Cali!$F$7,Municipios!G374,1))</f>
        <v>0</v>
      </c>
      <c r="C372" s="1" t="b">
        <f>ISNUMBER(SEARCH($F$8,Municipios!G374,1))</f>
        <v>0</v>
      </c>
    </row>
    <row r="373" spans="1:3" x14ac:dyDescent="0.25">
      <c r="A373" s="1" t="b">
        <f>ISNUMBER(SEARCH(Popayan_Cali!$F$7,Municipios!G375,1))</f>
        <v>0</v>
      </c>
      <c r="C373" s="1" t="b">
        <f>ISNUMBER(SEARCH($F$8,Municipios!G375,1))</f>
        <v>0</v>
      </c>
    </row>
    <row r="374" spans="1:3" x14ac:dyDescent="0.25">
      <c r="A374" s="1" t="b">
        <f>ISNUMBER(SEARCH(Popayan_Cali!$F$7,Municipios!G376,1))</f>
        <v>0</v>
      </c>
      <c r="C374" s="1" t="b">
        <f>ISNUMBER(SEARCH($F$8,Municipios!G376,1))</f>
        <v>0</v>
      </c>
    </row>
    <row r="375" spans="1:3" x14ac:dyDescent="0.25">
      <c r="A375" s="1" t="b">
        <f>ISNUMBER(SEARCH(Popayan_Cali!$F$7,Municipios!G377,1))</f>
        <v>0</v>
      </c>
      <c r="C375" s="1" t="b">
        <f>ISNUMBER(SEARCH($F$8,Municipios!G377,1))</f>
        <v>0</v>
      </c>
    </row>
    <row r="376" spans="1:3" x14ac:dyDescent="0.25">
      <c r="A376" s="1" t="b">
        <f>ISNUMBER(SEARCH(Popayan_Cali!$F$7,Municipios!G378,1))</f>
        <v>0</v>
      </c>
      <c r="C376" s="1" t="b">
        <f>ISNUMBER(SEARCH($F$8,Municipios!G378,1))</f>
        <v>0</v>
      </c>
    </row>
    <row r="377" spans="1:3" x14ac:dyDescent="0.25">
      <c r="A377" s="1" t="b">
        <f>ISNUMBER(SEARCH(Popayan_Cali!$F$7,Municipios!G379,1))</f>
        <v>0</v>
      </c>
      <c r="C377" s="1" t="b">
        <f>ISNUMBER(SEARCH($F$8,Municipios!G379,1))</f>
        <v>0</v>
      </c>
    </row>
    <row r="378" spans="1:3" x14ac:dyDescent="0.25">
      <c r="A378" s="1" t="b">
        <f>ISNUMBER(SEARCH(Popayan_Cali!$F$7,Municipios!G380,1))</f>
        <v>0</v>
      </c>
      <c r="C378" s="1" t="b">
        <f>ISNUMBER(SEARCH($F$8,Municipios!G380,1))</f>
        <v>0</v>
      </c>
    </row>
    <row r="379" spans="1:3" x14ac:dyDescent="0.25">
      <c r="A379" s="1" t="b">
        <f>ISNUMBER(SEARCH(Popayan_Cali!$F$7,Municipios!G381,1))</f>
        <v>0</v>
      </c>
      <c r="C379" s="1" t="b">
        <f>ISNUMBER(SEARCH($F$8,Municipios!G381,1))</f>
        <v>0</v>
      </c>
    </row>
    <row r="380" spans="1:3" x14ac:dyDescent="0.25">
      <c r="A380" s="1" t="b">
        <f>ISNUMBER(SEARCH(Popayan_Cali!$F$7,Municipios!G382,1))</f>
        <v>0</v>
      </c>
      <c r="C380" s="1" t="b">
        <f>ISNUMBER(SEARCH($F$8,Municipios!G382,1))</f>
        <v>0</v>
      </c>
    </row>
    <row r="381" spans="1:3" x14ac:dyDescent="0.25">
      <c r="A381" s="1" t="b">
        <f>ISNUMBER(SEARCH(Popayan_Cali!$F$7,Municipios!G383,1))</f>
        <v>0</v>
      </c>
      <c r="C381" s="1" t="b">
        <f>ISNUMBER(SEARCH($F$8,Municipios!G383,1))</f>
        <v>0</v>
      </c>
    </row>
    <row r="382" spans="1:3" x14ac:dyDescent="0.25">
      <c r="A382" s="1" t="b">
        <f>ISNUMBER(SEARCH(Popayan_Cali!$F$7,Municipios!G384,1))</f>
        <v>0</v>
      </c>
      <c r="C382" s="1" t="b">
        <f>ISNUMBER(SEARCH($F$8,Municipios!G384,1))</f>
        <v>0</v>
      </c>
    </row>
    <row r="383" spans="1:3" x14ac:dyDescent="0.25">
      <c r="A383" s="1" t="b">
        <f>ISNUMBER(SEARCH(Popayan_Cali!$F$7,Municipios!G385,1))</f>
        <v>0</v>
      </c>
      <c r="C383" s="1" t="b">
        <f>ISNUMBER(SEARCH($F$8,Municipios!G385,1))</f>
        <v>0</v>
      </c>
    </row>
    <row r="384" spans="1:3" x14ac:dyDescent="0.25">
      <c r="A384" s="1" t="b">
        <f>ISNUMBER(SEARCH(Popayan_Cali!$F$7,Municipios!G386,1))</f>
        <v>0</v>
      </c>
      <c r="C384" s="1" t="b">
        <f>ISNUMBER(SEARCH($F$8,Municipios!G386,1))</f>
        <v>0</v>
      </c>
    </row>
    <row r="385" spans="1:3" x14ac:dyDescent="0.25">
      <c r="A385" s="1" t="b">
        <f>ISNUMBER(SEARCH(Popayan_Cali!$F$7,Municipios!G387,1))</f>
        <v>0</v>
      </c>
      <c r="C385" s="1" t="b">
        <f>ISNUMBER(SEARCH($F$8,Municipios!G387,1))</f>
        <v>0</v>
      </c>
    </row>
    <row r="386" spans="1:3" x14ac:dyDescent="0.25">
      <c r="A386" s="1" t="b">
        <f>ISNUMBER(SEARCH(Popayan_Cali!$F$7,Municipios!G388,1))</f>
        <v>0</v>
      </c>
      <c r="C386" s="1" t="b">
        <f>ISNUMBER(SEARCH($F$8,Municipios!G388,1))</f>
        <v>0</v>
      </c>
    </row>
    <row r="387" spans="1:3" x14ac:dyDescent="0.25">
      <c r="A387" s="1" t="b">
        <f>ISNUMBER(SEARCH(Popayan_Cali!$F$7,Municipios!G389,1))</f>
        <v>0</v>
      </c>
      <c r="C387" s="1" t="b">
        <f>ISNUMBER(SEARCH($F$8,Municipios!G389,1))</f>
        <v>0</v>
      </c>
    </row>
    <row r="388" spans="1:3" x14ac:dyDescent="0.25">
      <c r="A388" s="1" t="b">
        <f>ISNUMBER(SEARCH(Popayan_Cali!$F$7,Municipios!G390,1))</f>
        <v>0</v>
      </c>
      <c r="C388" s="1" t="b">
        <f>ISNUMBER(SEARCH($F$8,Municipios!G390,1))</f>
        <v>0</v>
      </c>
    </row>
    <row r="389" spans="1:3" x14ac:dyDescent="0.25">
      <c r="A389" s="1" t="b">
        <f>ISNUMBER(SEARCH(Popayan_Cali!$F$7,Municipios!G391,1))</f>
        <v>0</v>
      </c>
      <c r="C389" s="1" t="b">
        <f>ISNUMBER(SEARCH($F$8,Municipios!G391,1))</f>
        <v>0</v>
      </c>
    </row>
    <row r="390" spans="1:3" x14ac:dyDescent="0.25">
      <c r="A390" s="1" t="b">
        <f>ISNUMBER(SEARCH(Popayan_Cali!$F$7,Municipios!G392,1))</f>
        <v>0</v>
      </c>
      <c r="C390" s="1" t="b">
        <f>ISNUMBER(SEARCH($F$8,Municipios!G392,1))</f>
        <v>0</v>
      </c>
    </row>
    <row r="391" spans="1:3" x14ac:dyDescent="0.25">
      <c r="A391" s="1" t="b">
        <f>ISNUMBER(SEARCH(Popayan_Cali!$F$7,Municipios!G393,1))</f>
        <v>0</v>
      </c>
      <c r="C391" s="1" t="b">
        <f>ISNUMBER(SEARCH($F$8,Municipios!G393,1))</f>
        <v>0</v>
      </c>
    </row>
    <row r="392" spans="1:3" x14ac:dyDescent="0.25">
      <c r="A392" s="1" t="b">
        <f>ISNUMBER(SEARCH(Popayan_Cali!$F$7,Municipios!G394,1))</f>
        <v>0</v>
      </c>
      <c r="C392" s="1" t="b">
        <f>ISNUMBER(SEARCH($F$8,Municipios!G394,1))</f>
        <v>0</v>
      </c>
    </row>
    <row r="393" spans="1:3" x14ac:dyDescent="0.25">
      <c r="A393" s="1" t="b">
        <f>ISNUMBER(SEARCH(Popayan_Cali!$F$7,Municipios!G395,1))</f>
        <v>0</v>
      </c>
      <c r="C393" s="1" t="b">
        <f>ISNUMBER(SEARCH($F$8,Municipios!G395,1))</f>
        <v>0</v>
      </c>
    </row>
    <row r="394" spans="1:3" x14ac:dyDescent="0.25">
      <c r="A394" s="1" t="b">
        <f>ISNUMBER(SEARCH(Popayan_Cali!$F$7,Municipios!G396,1))</f>
        <v>0</v>
      </c>
      <c r="C394" s="1" t="b">
        <f>ISNUMBER(SEARCH($F$8,Municipios!G396,1))</f>
        <v>0</v>
      </c>
    </row>
    <row r="395" spans="1:3" x14ac:dyDescent="0.25">
      <c r="A395" s="1" t="b">
        <f>ISNUMBER(SEARCH(Popayan_Cali!$F$7,Municipios!G397,1))</f>
        <v>0</v>
      </c>
      <c r="C395" s="1" t="b">
        <f>ISNUMBER(SEARCH($F$8,Municipios!G397,1))</f>
        <v>0</v>
      </c>
    </row>
    <row r="396" spans="1:3" x14ac:dyDescent="0.25">
      <c r="A396" s="1" t="b">
        <f>ISNUMBER(SEARCH(Popayan_Cali!$F$7,Municipios!G398,1))</f>
        <v>0</v>
      </c>
      <c r="C396" s="1" t="b">
        <f>ISNUMBER(SEARCH($F$8,Municipios!G398,1))</f>
        <v>0</v>
      </c>
    </row>
    <row r="397" spans="1:3" x14ac:dyDescent="0.25">
      <c r="A397" s="1" t="b">
        <f>ISNUMBER(SEARCH(Popayan_Cali!$F$7,Municipios!G399,1))</f>
        <v>0</v>
      </c>
      <c r="C397" s="1" t="b">
        <f>ISNUMBER(SEARCH($F$8,Municipios!G399,1))</f>
        <v>0</v>
      </c>
    </row>
    <row r="398" spans="1:3" x14ac:dyDescent="0.25">
      <c r="A398" s="1" t="b">
        <f>ISNUMBER(SEARCH(Popayan_Cali!$F$7,Municipios!G400,1))</f>
        <v>0</v>
      </c>
      <c r="C398" s="1" t="b">
        <f>ISNUMBER(SEARCH($F$8,Municipios!G400,1))</f>
        <v>0</v>
      </c>
    </row>
    <row r="399" spans="1:3" x14ac:dyDescent="0.25">
      <c r="A399" s="1" t="b">
        <f>ISNUMBER(SEARCH(Popayan_Cali!$F$7,Municipios!G401,1))</f>
        <v>0</v>
      </c>
      <c r="C399" s="1" t="b">
        <f>ISNUMBER(SEARCH($F$8,Municipios!G401,1))</f>
        <v>0</v>
      </c>
    </row>
    <row r="400" spans="1:3" x14ac:dyDescent="0.25">
      <c r="A400" s="1" t="b">
        <f>ISNUMBER(SEARCH(Popayan_Cali!$F$7,Municipios!G402,1))</f>
        <v>0</v>
      </c>
      <c r="C400" s="1" t="b">
        <f>ISNUMBER(SEARCH($F$8,Municipios!G402,1))</f>
        <v>0</v>
      </c>
    </row>
    <row r="401" spans="1:3" x14ac:dyDescent="0.25">
      <c r="A401" s="1" t="b">
        <f>ISNUMBER(SEARCH(Popayan_Cali!$F$7,Municipios!G403,1))</f>
        <v>0</v>
      </c>
      <c r="C401" s="1" t="b">
        <f>ISNUMBER(SEARCH($F$8,Municipios!G403,1))</f>
        <v>0</v>
      </c>
    </row>
    <row r="402" spans="1:3" x14ac:dyDescent="0.25">
      <c r="A402" s="1" t="b">
        <f>ISNUMBER(SEARCH(Popayan_Cali!$F$7,Municipios!G404,1))</f>
        <v>0</v>
      </c>
      <c r="C402" s="1" t="b">
        <f>ISNUMBER(SEARCH($F$8,Municipios!G404,1))</f>
        <v>0</v>
      </c>
    </row>
    <row r="403" spans="1:3" x14ac:dyDescent="0.25">
      <c r="A403" s="1" t="b">
        <f>ISNUMBER(SEARCH(Popayan_Cali!$F$7,Municipios!G405,1))</f>
        <v>0</v>
      </c>
      <c r="C403" s="1" t="b">
        <f>ISNUMBER(SEARCH($F$8,Municipios!G405,1))</f>
        <v>0</v>
      </c>
    </row>
    <row r="404" spans="1:3" x14ac:dyDescent="0.25">
      <c r="A404" s="1" t="b">
        <f>ISNUMBER(SEARCH(Popayan_Cali!$F$7,Municipios!G406,1))</f>
        <v>0</v>
      </c>
      <c r="C404" s="1" t="b">
        <f>ISNUMBER(SEARCH($F$8,Municipios!G406,1))</f>
        <v>0</v>
      </c>
    </row>
    <row r="405" spans="1:3" x14ac:dyDescent="0.25">
      <c r="A405" s="1" t="b">
        <f>ISNUMBER(SEARCH(Popayan_Cali!$F$7,Municipios!G407,1))</f>
        <v>0</v>
      </c>
      <c r="C405" s="1" t="b">
        <f>ISNUMBER(SEARCH($F$8,Municipios!G407,1))</f>
        <v>0</v>
      </c>
    </row>
    <row r="406" spans="1:3" x14ac:dyDescent="0.25">
      <c r="A406" s="1" t="b">
        <f>ISNUMBER(SEARCH(Popayan_Cali!$F$7,Municipios!G408,1))</f>
        <v>0</v>
      </c>
      <c r="C406" s="1" t="b">
        <f>ISNUMBER(SEARCH($F$8,Municipios!G408,1))</f>
        <v>0</v>
      </c>
    </row>
    <row r="407" spans="1:3" x14ac:dyDescent="0.25">
      <c r="A407" s="1" t="b">
        <f>ISNUMBER(SEARCH(Popayan_Cali!$F$7,Municipios!G409,1))</f>
        <v>0</v>
      </c>
      <c r="C407" s="1" t="b">
        <f>ISNUMBER(SEARCH($F$8,Municipios!G409,1))</f>
        <v>0</v>
      </c>
    </row>
    <row r="408" spans="1:3" x14ac:dyDescent="0.25">
      <c r="A408" s="1" t="b">
        <f>ISNUMBER(SEARCH(Popayan_Cali!$F$7,Municipios!G410,1))</f>
        <v>0</v>
      </c>
      <c r="C408" s="1" t="b">
        <f>ISNUMBER(SEARCH($F$8,Municipios!G410,1))</f>
        <v>0</v>
      </c>
    </row>
    <row r="409" spans="1:3" x14ac:dyDescent="0.25">
      <c r="A409" s="1" t="b">
        <f>ISNUMBER(SEARCH(Popayan_Cali!$F$7,Municipios!G411,1))</f>
        <v>0</v>
      </c>
      <c r="C409" s="1" t="b">
        <f>ISNUMBER(SEARCH($F$8,Municipios!G411,1))</f>
        <v>0</v>
      </c>
    </row>
    <row r="410" spans="1:3" x14ac:dyDescent="0.25">
      <c r="A410" s="1" t="b">
        <f>ISNUMBER(SEARCH(Popayan_Cali!$F$7,Municipios!G412,1))</f>
        <v>0</v>
      </c>
      <c r="C410" s="1" t="b">
        <f>ISNUMBER(SEARCH($F$8,Municipios!G412,1))</f>
        <v>0</v>
      </c>
    </row>
    <row r="411" spans="1:3" x14ac:dyDescent="0.25">
      <c r="A411" s="1" t="b">
        <f>ISNUMBER(SEARCH(Popayan_Cali!$F$7,Municipios!G413,1))</f>
        <v>0</v>
      </c>
      <c r="C411" s="1" t="b">
        <f>ISNUMBER(SEARCH($F$8,Municipios!G413,1))</f>
        <v>0</v>
      </c>
    </row>
    <row r="412" spans="1:3" x14ac:dyDescent="0.25">
      <c r="A412" s="1" t="b">
        <f>ISNUMBER(SEARCH(Popayan_Cali!$F$7,Municipios!G414,1))</f>
        <v>0</v>
      </c>
      <c r="C412" s="1" t="b">
        <f>ISNUMBER(SEARCH($F$8,Municipios!G414,1))</f>
        <v>0</v>
      </c>
    </row>
    <row r="413" spans="1:3" x14ac:dyDescent="0.25">
      <c r="A413" s="1" t="b">
        <f>ISNUMBER(SEARCH(Popayan_Cali!$F$7,Municipios!G415,1))</f>
        <v>0</v>
      </c>
      <c r="C413" s="1" t="b">
        <f>ISNUMBER(SEARCH($F$8,Municipios!G415,1))</f>
        <v>0</v>
      </c>
    </row>
    <row r="414" spans="1:3" x14ac:dyDescent="0.25">
      <c r="A414" s="1" t="b">
        <f>ISNUMBER(SEARCH(Popayan_Cali!$F$7,Municipios!G416,1))</f>
        <v>0</v>
      </c>
      <c r="C414" s="1" t="b">
        <f>ISNUMBER(SEARCH($F$8,Municipios!G416,1))</f>
        <v>0</v>
      </c>
    </row>
    <row r="415" spans="1:3" x14ac:dyDescent="0.25">
      <c r="A415" s="1" t="b">
        <f>ISNUMBER(SEARCH(Popayan_Cali!$F$7,Municipios!G417,1))</f>
        <v>0</v>
      </c>
      <c r="C415" s="1" t="b">
        <f>ISNUMBER(SEARCH($F$8,Municipios!G417,1))</f>
        <v>0</v>
      </c>
    </row>
    <row r="416" spans="1:3" x14ac:dyDescent="0.25">
      <c r="A416" s="1" t="b">
        <f>ISNUMBER(SEARCH(Popayan_Cali!$F$7,Municipios!G418,1))</f>
        <v>0</v>
      </c>
      <c r="C416" s="1" t="b">
        <f>ISNUMBER(SEARCH($F$8,Municipios!G418,1))</f>
        <v>0</v>
      </c>
    </row>
    <row r="417" spans="1:3" x14ac:dyDescent="0.25">
      <c r="A417" s="1" t="b">
        <f>ISNUMBER(SEARCH(Popayan_Cali!$F$7,Municipios!G419,1))</f>
        <v>0</v>
      </c>
      <c r="C417" s="1" t="b">
        <f>ISNUMBER(SEARCH($F$8,Municipios!G419,1))</f>
        <v>0</v>
      </c>
    </row>
    <row r="418" spans="1:3" x14ac:dyDescent="0.25">
      <c r="A418" s="1" t="b">
        <f>ISNUMBER(SEARCH(Popayan_Cali!$F$7,Municipios!G420,1))</f>
        <v>0</v>
      </c>
      <c r="C418" s="1" t="b">
        <f>ISNUMBER(SEARCH($F$8,Municipios!G420,1))</f>
        <v>0</v>
      </c>
    </row>
    <row r="419" spans="1:3" x14ac:dyDescent="0.25">
      <c r="A419" s="1" t="b">
        <f>ISNUMBER(SEARCH(Popayan_Cali!$F$7,Municipios!G421,1))</f>
        <v>0</v>
      </c>
      <c r="C419" s="1" t="b">
        <f>ISNUMBER(SEARCH($F$8,Municipios!G421,1))</f>
        <v>0</v>
      </c>
    </row>
    <row r="420" spans="1:3" x14ac:dyDescent="0.25">
      <c r="A420" s="1" t="b">
        <f>ISNUMBER(SEARCH(Popayan_Cali!$F$7,Municipios!G422,1))</f>
        <v>0</v>
      </c>
      <c r="C420" s="1" t="b">
        <f>ISNUMBER(SEARCH($F$8,Municipios!G422,1))</f>
        <v>0</v>
      </c>
    </row>
    <row r="421" spans="1:3" x14ac:dyDescent="0.25">
      <c r="A421" s="1" t="b">
        <f>ISNUMBER(SEARCH(Popayan_Cali!$F$7,Municipios!G423,1))</f>
        <v>0</v>
      </c>
      <c r="C421" s="1" t="b">
        <f>ISNUMBER(SEARCH($F$8,Municipios!G423,1))</f>
        <v>0</v>
      </c>
    </row>
    <row r="422" spans="1:3" x14ac:dyDescent="0.25">
      <c r="A422" s="1" t="b">
        <f>ISNUMBER(SEARCH(Popayan_Cali!$F$7,Municipios!G424,1))</f>
        <v>0</v>
      </c>
      <c r="C422" s="1" t="b">
        <f>ISNUMBER(SEARCH($F$8,Municipios!G424,1))</f>
        <v>0</v>
      </c>
    </row>
    <row r="423" spans="1:3" x14ac:dyDescent="0.25">
      <c r="A423" s="1" t="b">
        <f>ISNUMBER(SEARCH(Popayan_Cali!$F$7,Municipios!G425,1))</f>
        <v>0</v>
      </c>
      <c r="C423" s="1" t="b">
        <f>ISNUMBER(SEARCH($F$8,Municipios!G425,1))</f>
        <v>0</v>
      </c>
    </row>
    <row r="424" spans="1:3" x14ac:dyDescent="0.25">
      <c r="A424" s="1" t="b">
        <f>ISNUMBER(SEARCH(Popayan_Cali!$F$7,Municipios!G426,1))</f>
        <v>0</v>
      </c>
      <c r="C424" s="1" t="b">
        <f>ISNUMBER(SEARCH($F$8,Municipios!G426,1))</f>
        <v>0</v>
      </c>
    </row>
    <row r="425" spans="1:3" x14ac:dyDescent="0.25">
      <c r="A425" s="1" t="b">
        <f>ISNUMBER(SEARCH(Popayan_Cali!$F$7,Municipios!G427,1))</f>
        <v>0</v>
      </c>
      <c r="C425" s="1" t="b">
        <f>ISNUMBER(SEARCH($F$8,Municipios!G427,1))</f>
        <v>0</v>
      </c>
    </row>
    <row r="426" spans="1:3" x14ac:dyDescent="0.25">
      <c r="A426" s="1" t="b">
        <f>ISNUMBER(SEARCH(Popayan_Cali!$F$7,Municipios!G428,1))</f>
        <v>0</v>
      </c>
      <c r="C426" s="1" t="b">
        <f>ISNUMBER(SEARCH($F$8,Municipios!G428,1))</f>
        <v>0</v>
      </c>
    </row>
    <row r="427" spans="1:3" x14ac:dyDescent="0.25">
      <c r="A427" s="1" t="b">
        <f>ISNUMBER(SEARCH(Popayan_Cali!$F$7,Municipios!G429,1))</f>
        <v>0</v>
      </c>
      <c r="C427" s="1" t="b">
        <f>ISNUMBER(SEARCH($F$8,Municipios!G429,1))</f>
        <v>0</v>
      </c>
    </row>
    <row r="428" spans="1:3" x14ac:dyDescent="0.25">
      <c r="A428" s="1" t="b">
        <f>ISNUMBER(SEARCH(Popayan_Cali!$F$7,Municipios!G430,1))</f>
        <v>0</v>
      </c>
      <c r="C428" s="1" t="b">
        <f>ISNUMBER(SEARCH($F$8,Municipios!G430,1))</f>
        <v>0</v>
      </c>
    </row>
    <row r="429" spans="1:3" x14ac:dyDescent="0.25">
      <c r="A429" s="1" t="b">
        <f>ISNUMBER(SEARCH(Popayan_Cali!$F$7,Municipios!G431,1))</f>
        <v>0</v>
      </c>
      <c r="C429" s="1" t="b">
        <f>ISNUMBER(SEARCH($F$8,Municipios!G431,1))</f>
        <v>0</v>
      </c>
    </row>
    <row r="430" spans="1:3" x14ac:dyDescent="0.25">
      <c r="A430" s="1" t="b">
        <f>ISNUMBER(SEARCH(Popayan_Cali!$F$7,Municipios!G432,1))</f>
        <v>0</v>
      </c>
      <c r="C430" s="1" t="b">
        <f>ISNUMBER(SEARCH($F$8,Municipios!G432,1))</f>
        <v>0</v>
      </c>
    </row>
    <row r="431" spans="1:3" x14ac:dyDescent="0.25">
      <c r="A431" s="1" t="b">
        <f>ISNUMBER(SEARCH(Popayan_Cali!$F$7,Municipios!G433,1))</f>
        <v>0</v>
      </c>
      <c r="C431" s="1" t="b">
        <f>ISNUMBER(SEARCH($F$8,Municipios!G433,1))</f>
        <v>0</v>
      </c>
    </row>
    <row r="432" spans="1:3" x14ac:dyDescent="0.25">
      <c r="A432" s="1" t="b">
        <f>ISNUMBER(SEARCH(Popayan_Cali!$F$7,Municipios!G434,1))</f>
        <v>0</v>
      </c>
      <c r="C432" s="1" t="b">
        <f>ISNUMBER(SEARCH($F$8,Municipios!G434,1))</f>
        <v>0</v>
      </c>
    </row>
    <row r="433" spans="1:3" x14ac:dyDescent="0.25">
      <c r="A433" s="1" t="b">
        <f>ISNUMBER(SEARCH(Popayan_Cali!$F$7,Municipios!G435,1))</f>
        <v>0</v>
      </c>
      <c r="C433" s="1" t="b">
        <f>ISNUMBER(SEARCH($F$8,Municipios!G435,1))</f>
        <v>0</v>
      </c>
    </row>
    <row r="434" spans="1:3" x14ac:dyDescent="0.25">
      <c r="A434" s="1" t="b">
        <f>ISNUMBER(SEARCH(Popayan_Cali!$F$7,Municipios!G436,1))</f>
        <v>0</v>
      </c>
      <c r="C434" s="1" t="b">
        <f>ISNUMBER(SEARCH($F$8,Municipios!G436,1))</f>
        <v>0</v>
      </c>
    </row>
    <row r="435" spans="1:3" x14ac:dyDescent="0.25">
      <c r="A435" s="1" t="b">
        <f>ISNUMBER(SEARCH(Popayan_Cali!$F$7,Municipios!G437,1))</f>
        <v>0</v>
      </c>
      <c r="C435" s="1" t="b">
        <f>ISNUMBER(SEARCH($F$8,Municipios!G437,1))</f>
        <v>0</v>
      </c>
    </row>
    <row r="436" spans="1:3" x14ac:dyDescent="0.25">
      <c r="A436" s="1" t="b">
        <f>ISNUMBER(SEARCH(Popayan_Cali!$F$7,Municipios!G438,1))</f>
        <v>0</v>
      </c>
      <c r="C436" s="1" t="b">
        <f>ISNUMBER(SEARCH($F$8,Municipios!G438,1))</f>
        <v>0</v>
      </c>
    </row>
    <row r="437" spans="1:3" x14ac:dyDescent="0.25">
      <c r="A437" s="1" t="b">
        <f>ISNUMBER(SEARCH(Popayan_Cali!$F$7,Municipios!G439,1))</f>
        <v>0</v>
      </c>
      <c r="C437" s="1" t="b">
        <f>ISNUMBER(SEARCH($F$8,Municipios!G439,1))</f>
        <v>0</v>
      </c>
    </row>
    <row r="438" spans="1:3" x14ac:dyDescent="0.25">
      <c r="A438" s="1" t="b">
        <f>ISNUMBER(SEARCH(Popayan_Cali!$F$7,Municipios!G440,1))</f>
        <v>0</v>
      </c>
      <c r="C438" s="1" t="b">
        <f>ISNUMBER(SEARCH($F$8,Municipios!G440,1))</f>
        <v>0</v>
      </c>
    </row>
    <row r="439" spans="1:3" x14ac:dyDescent="0.25">
      <c r="A439" s="1" t="b">
        <f>ISNUMBER(SEARCH(Popayan_Cali!$F$7,Municipios!G441,1))</f>
        <v>0</v>
      </c>
      <c r="C439" s="1" t="b">
        <f>ISNUMBER(SEARCH($F$8,Municipios!G441,1))</f>
        <v>0</v>
      </c>
    </row>
    <row r="440" spans="1:3" x14ac:dyDescent="0.25">
      <c r="A440" s="1" t="b">
        <f>ISNUMBER(SEARCH(Popayan_Cali!$F$7,Municipios!G442,1))</f>
        <v>0</v>
      </c>
      <c r="C440" s="1" t="b">
        <f>ISNUMBER(SEARCH($F$8,Municipios!G442,1))</f>
        <v>0</v>
      </c>
    </row>
    <row r="441" spans="1:3" x14ac:dyDescent="0.25">
      <c r="A441" s="1" t="b">
        <f>ISNUMBER(SEARCH(Popayan_Cali!$F$7,Municipios!G443,1))</f>
        <v>0</v>
      </c>
      <c r="C441" s="1" t="b">
        <f>ISNUMBER(SEARCH($F$8,Municipios!G443,1))</f>
        <v>0</v>
      </c>
    </row>
    <row r="442" spans="1:3" x14ac:dyDescent="0.25">
      <c r="A442" s="1" t="b">
        <f>ISNUMBER(SEARCH(Popayan_Cali!$F$7,Municipios!G444,1))</f>
        <v>0</v>
      </c>
      <c r="C442" s="1" t="b">
        <f>ISNUMBER(SEARCH($F$8,Municipios!G444,1))</f>
        <v>0</v>
      </c>
    </row>
    <row r="443" spans="1:3" x14ac:dyDescent="0.25">
      <c r="A443" s="1" t="b">
        <f>ISNUMBER(SEARCH(Popayan_Cali!$F$7,Municipios!G445,1))</f>
        <v>0</v>
      </c>
      <c r="C443" s="1" t="b">
        <f>ISNUMBER(SEARCH($F$8,Municipios!G445,1))</f>
        <v>0</v>
      </c>
    </row>
    <row r="444" spans="1:3" x14ac:dyDescent="0.25">
      <c r="A444" s="1" t="b">
        <f>ISNUMBER(SEARCH(Popayan_Cali!$F$7,Municipios!G446,1))</f>
        <v>0</v>
      </c>
      <c r="C444" s="1" t="b">
        <f>ISNUMBER(SEARCH($F$8,Municipios!G446,1))</f>
        <v>0</v>
      </c>
    </row>
    <row r="445" spans="1:3" x14ac:dyDescent="0.25">
      <c r="A445" s="1" t="b">
        <f>ISNUMBER(SEARCH(Popayan_Cali!$F$7,Municipios!G447,1))</f>
        <v>0</v>
      </c>
      <c r="C445" s="1" t="b">
        <f>ISNUMBER(SEARCH($F$8,Municipios!G447,1))</f>
        <v>0</v>
      </c>
    </row>
    <row r="446" spans="1:3" x14ac:dyDescent="0.25">
      <c r="A446" s="1" t="b">
        <f>ISNUMBER(SEARCH(Popayan_Cali!$F$7,Municipios!G448,1))</f>
        <v>0</v>
      </c>
      <c r="C446" s="1" t="b">
        <f>ISNUMBER(SEARCH($F$8,Municipios!G448,1))</f>
        <v>0</v>
      </c>
    </row>
    <row r="447" spans="1:3" x14ac:dyDescent="0.25">
      <c r="A447" s="1" t="b">
        <f>ISNUMBER(SEARCH(Popayan_Cali!$F$7,Municipios!G449,1))</f>
        <v>0</v>
      </c>
      <c r="C447" s="1" t="b">
        <f>ISNUMBER(SEARCH($F$8,Municipios!G449,1))</f>
        <v>0</v>
      </c>
    </row>
    <row r="448" spans="1:3" x14ac:dyDescent="0.25">
      <c r="A448" s="1" t="b">
        <f>ISNUMBER(SEARCH(Popayan_Cali!$F$7,Municipios!G450,1))</f>
        <v>0</v>
      </c>
      <c r="C448" s="1" t="b">
        <f>ISNUMBER(SEARCH($F$8,Municipios!G450,1))</f>
        <v>0</v>
      </c>
    </row>
    <row r="449" spans="1:3" x14ac:dyDescent="0.25">
      <c r="A449" s="1" t="b">
        <f>ISNUMBER(SEARCH(Popayan_Cali!$F$7,Municipios!G451,1))</f>
        <v>0</v>
      </c>
      <c r="C449" s="1" t="b">
        <f>ISNUMBER(SEARCH($F$8,Municipios!G451,1))</f>
        <v>0</v>
      </c>
    </row>
    <row r="450" spans="1:3" x14ac:dyDescent="0.25">
      <c r="A450" s="1" t="b">
        <f>ISNUMBER(SEARCH(Popayan_Cali!$F$7,Municipios!G452,1))</f>
        <v>0</v>
      </c>
      <c r="C450" s="1" t="b">
        <f>ISNUMBER(SEARCH($F$8,Municipios!G452,1))</f>
        <v>0</v>
      </c>
    </row>
    <row r="451" spans="1:3" x14ac:dyDescent="0.25">
      <c r="A451" s="1" t="b">
        <f>ISNUMBER(SEARCH(Popayan_Cali!$F$7,Municipios!G453,1))</f>
        <v>0</v>
      </c>
      <c r="C451" s="1" t="b">
        <f>ISNUMBER(SEARCH($F$8,Municipios!G453,1))</f>
        <v>0</v>
      </c>
    </row>
    <row r="452" spans="1:3" x14ac:dyDescent="0.25">
      <c r="A452" s="1" t="b">
        <f>ISNUMBER(SEARCH(Popayan_Cali!$F$7,Municipios!G454,1))</f>
        <v>0</v>
      </c>
      <c r="C452" s="1" t="b">
        <f>ISNUMBER(SEARCH($F$8,Municipios!G454,1))</f>
        <v>0</v>
      </c>
    </row>
    <row r="453" spans="1:3" x14ac:dyDescent="0.25">
      <c r="A453" s="1" t="b">
        <f>ISNUMBER(SEARCH(Popayan_Cali!$F$7,Municipios!G455,1))</f>
        <v>0</v>
      </c>
      <c r="C453" s="1" t="b">
        <f>ISNUMBER(SEARCH($F$8,Municipios!G455,1))</f>
        <v>0</v>
      </c>
    </row>
    <row r="454" spans="1:3" x14ac:dyDescent="0.25">
      <c r="A454" s="1" t="b">
        <f>ISNUMBER(SEARCH(Popayan_Cali!$F$7,Municipios!G456,1))</f>
        <v>0</v>
      </c>
      <c r="C454" s="1" t="b">
        <f>ISNUMBER(SEARCH($F$8,Municipios!G456,1))</f>
        <v>0</v>
      </c>
    </row>
    <row r="455" spans="1:3" x14ac:dyDescent="0.25">
      <c r="A455" s="1" t="b">
        <f>ISNUMBER(SEARCH(Popayan_Cali!$F$7,Municipios!G457,1))</f>
        <v>0</v>
      </c>
      <c r="C455" s="1" t="b">
        <f>ISNUMBER(SEARCH($F$8,Municipios!G457,1))</f>
        <v>0</v>
      </c>
    </row>
    <row r="456" spans="1:3" x14ac:dyDescent="0.25">
      <c r="A456" s="1" t="b">
        <f>ISNUMBER(SEARCH(Popayan_Cali!$F$7,Municipios!G458,1))</f>
        <v>0</v>
      </c>
      <c r="C456" s="1" t="b">
        <f>ISNUMBER(SEARCH($F$8,Municipios!G458,1))</f>
        <v>0</v>
      </c>
    </row>
    <row r="457" spans="1:3" x14ac:dyDescent="0.25">
      <c r="A457" s="1" t="b">
        <f>ISNUMBER(SEARCH(Popayan_Cali!$F$7,Municipios!G459,1))</f>
        <v>0</v>
      </c>
      <c r="C457" s="1" t="b">
        <f>ISNUMBER(SEARCH($F$8,Municipios!G459,1))</f>
        <v>0</v>
      </c>
    </row>
    <row r="458" spans="1:3" x14ac:dyDescent="0.25">
      <c r="A458" s="1" t="b">
        <f>ISNUMBER(SEARCH(Popayan_Cali!$F$7,Municipios!G460,1))</f>
        <v>0</v>
      </c>
      <c r="C458" s="1" t="b">
        <f>ISNUMBER(SEARCH($F$8,Municipios!G460,1))</f>
        <v>0</v>
      </c>
    </row>
    <row r="459" spans="1:3" x14ac:dyDescent="0.25">
      <c r="A459" s="1" t="b">
        <f>ISNUMBER(SEARCH(Popayan_Cali!$F$7,Municipios!G461,1))</f>
        <v>0</v>
      </c>
      <c r="C459" s="1" t="b">
        <f>ISNUMBER(SEARCH($F$8,Municipios!G461,1))</f>
        <v>0</v>
      </c>
    </row>
    <row r="460" spans="1:3" x14ac:dyDescent="0.25">
      <c r="A460" s="1" t="b">
        <f>ISNUMBER(SEARCH(Popayan_Cali!$F$7,Municipios!G462,1))</f>
        <v>0</v>
      </c>
      <c r="C460" s="1" t="b">
        <f>ISNUMBER(SEARCH($F$8,Municipios!G462,1))</f>
        <v>0</v>
      </c>
    </row>
    <row r="461" spans="1:3" x14ac:dyDescent="0.25">
      <c r="A461" s="1" t="b">
        <f>ISNUMBER(SEARCH(Popayan_Cali!$F$7,Municipios!G463,1))</f>
        <v>0</v>
      </c>
      <c r="C461" s="1" t="b">
        <f>ISNUMBER(SEARCH($F$8,Municipios!G463,1))</f>
        <v>0</v>
      </c>
    </row>
    <row r="462" spans="1:3" x14ac:dyDescent="0.25">
      <c r="A462" s="1" t="b">
        <f>ISNUMBER(SEARCH(Popayan_Cali!$F$7,Municipios!G464,1))</f>
        <v>0</v>
      </c>
      <c r="C462" s="1" t="b">
        <f>ISNUMBER(SEARCH($F$8,Municipios!G464,1))</f>
        <v>0</v>
      </c>
    </row>
    <row r="463" spans="1:3" x14ac:dyDescent="0.25">
      <c r="A463" s="1" t="b">
        <f>ISNUMBER(SEARCH(Popayan_Cali!$F$7,Municipios!G465,1))</f>
        <v>0</v>
      </c>
      <c r="C463" s="1" t="b">
        <f>ISNUMBER(SEARCH($F$8,Municipios!G465,1))</f>
        <v>0</v>
      </c>
    </row>
    <row r="464" spans="1:3" x14ac:dyDescent="0.25">
      <c r="A464" s="1" t="b">
        <f>ISNUMBER(SEARCH(Popayan_Cali!$F$7,Municipios!G466,1))</f>
        <v>0</v>
      </c>
      <c r="C464" s="1" t="b">
        <f>ISNUMBER(SEARCH($F$8,Municipios!G466,1))</f>
        <v>0</v>
      </c>
    </row>
    <row r="465" spans="1:3" x14ac:dyDescent="0.25">
      <c r="A465" s="1" t="b">
        <f>ISNUMBER(SEARCH(Popayan_Cali!$F$7,Municipios!G467,1))</f>
        <v>0</v>
      </c>
      <c r="C465" s="1" t="b">
        <f>ISNUMBER(SEARCH($F$8,Municipios!G467,1))</f>
        <v>0</v>
      </c>
    </row>
    <row r="466" spans="1:3" x14ac:dyDescent="0.25">
      <c r="A466" s="1" t="b">
        <f>ISNUMBER(SEARCH(Popayan_Cali!$F$7,Municipios!G468,1))</f>
        <v>0</v>
      </c>
      <c r="C466" s="1" t="b">
        <f>ISNUMBER(SEARCH($F$8,Municipios!G468,1))</f>
        <v>0</v>
      </c>
    </row>
    <row r="467" spans="1:3" x14ac:dyDescent="0.25">
      <c r="A467" s="1" t="b">
        <f>ISNUMBER(SEARCH(Popayan_Cali!$F$7,Municipios!G469,1))</f>
        <v>0</v>
      </c>
      <c r="C467" s="1" t="b">
        <f>ISNUMBER(SEARCH($F$8,Municipios!G469,1))</f>
        <v>0</v>
      </c>
    </row>
    <row r="468" spans="1:3" x14ac:dyDescent="0.25">
      <c r="A468" s="1" t="b">
        <f>ISNUMBER(SEARCH(Popayan_Cali!$F$7,Municipios!G470,1))</f>
        <v>0</v>
      </c>
      <c r="C468" s="1" t="b">
        <f>ISNUMBER(SEARCH($F$8,Municipios!G470,1))</f>
        <v>0</v>
      </c>
    </row>
    <row r="469" spans="1:3" x14ac:dyDescent="0.25">
      <c r="A469" s="1" t="b">
        <f>ISNUMBER(SEARCH(Popayan_Cali!$F$7,Municipios!G471,1))</f>
        <v>0</v>
      </c>
      <c r="C469" s="1" t="b">
        <f>ISNUMBER(SEARCH($F$8,Municipios!G471,1))</f>
        <v>0</v>
      </c>
    </row>
    <row r="470" spans="1:3" x14ac:dyDescent="0.25">
      <c r="A470" s="1" t="b">
        <f>ISNUMBER(SEARCH(Popayan_Cali!$F$7,Municipios!G472,1))</f>
        <v>0</v>
      </c>
      <c r="C470" s="1" t="b">
        <f>ISNUMBER(SEARCH($F$8,Municipios!G472,1))</f>
        <v>0</v>
      </c>
    </row>
    <row r="471" spans="1:3" x14ac:dyDescent="0.25">
      <c r="A471" s="1" t="b">
        <f>ISNUMBER(SEARCH(Popayan_Cali!$F$7,Municipios!G473,1))</f>
        <v>0</v>
      </c>
      <c r="C471" s="1" t="b">
        <f>ISNUMBER(SEARCH($F$8,Municipios!G473,1))</f>
        <v>0</v>
      </c>
    </row>
    <row r="472" spans="1:3" x14ac:dyDescent="0.25">
      <c r="A472" s="1" t="b">
        <f>ISNUMBER(SEARCH(Popayan_Cali!$F$7,Municipios!G474,1))</f>
        <v>0</v>
      </c>
      <c r="C472" s="1" t="b">
        <f>ISNUMBER(SEARCH($F$8,Municipios!G474,1))</f>
        <v>0</v>
      </c>
    </row>
    <row r="473" spans="1:3" x14ac:dyDescent="0.25">
      <c r="A473" s="1" t="b">
        <f>ISNUMBER(SEARCH(Popayan_Cali!$F$7,Municipios!G475,1))</f>
        <v>0</v>
      </c>
      <c r="C473" s="1" t="b">
        <f>ISNUMBER(SEARCH($F$8,Municipios!G475,1))</f>
        <v>0</v>
      </c>
    </row>
    <row r="474" spans="1:3" x14ac:dyDescent="0.25">
      <c r="A474" s="1" t="b">
        <f>ISNUMBER(SEARCH(Popayan_Cali!$F$7,Municipios!G476,1))</f>
        <v>0</v>
      </c>
      <c r="C474" s="1" t="b">
        <f>ISNUMBER(SEARCH($F$8,Municipios!G476,1))</f>
        <v>0</v>
      </c>
    </row>
    <row r="475" spans="1:3" x14ac:dyDescent="0.25">
      <c r="A475" s="1" t="b">
        <f>ISNUMBER(SEARCH(Popayan_Cali!$F$7,Municipios!G477,1))</f>
        <v>0</v>
      </c>
      <c r="C475" s="1" t="b">
        <f>ISNUMBER(SEARCH($F$8,Municipios!G477,1))</f>
        <v>0</v>
      </c>
    </row>
    <row r="476" spans="1:3" x14ac:dyDescent="0.25">
      <c r="A476" s="1" t="b">
        <f>ISNUMBER(SEARCH(Popayan_Cali!$F$7,Municipios!G478,1))</f>
        <v>0</v>
      </c>
      <c r="C476" s="1" t="b">
        <f>ISNUMBER(SEARCH($F$8,Municipios!G478,1))</f>
        <v>0</v>
      </c>
    </row>
    <row r="477" spans="1:3" x14ac:dyDescent="0.25">
      <c r="A477" s="1" t="b">
        <f>ISNUMBER(SEARCH(Popayan_Cali!$F$7,Municipios!G479,1))</f>
        <v>0</v>
      </c>
      <c r="C477" s="1" t="b">
        <f>ISNUMBER(SEARCH($F$8,Municipios!G479,1))</f>
        <v>0</v>
      </c>
    </row>
    <row r="478" spans="1:3" x14ac:dyDescent="0.25">
      <c r="A478" s="1" t="b">
        <f>ISNUMBER(SEARCH(Popayan_Cali!$F$7,Municipios!G480,1))</f>
        <v>0</v>
      </c>
      <c r="C478" s="1" t="b">
        <f>ISNUMBER(SEARCH($F$8,Municipios!G480,1))</f>
        <v>0</v>
      </c>
    </row>
    <row r="479" spans="1:3" x14ac:dyDescent="0.25">
      <c r="A479" s="1" t="b">
        <f>ISNUMBER(SEARCH(Popayan_Cali!$F$7,Municipios!G481,1))</f>
        <v>0</v>
      </c>
      <c r="C479" s="1" t="b">
        <f>ISNUMBER(SEARCH($F$8,Municipios!G481,1))</f>
        <v>0</v>
      </c>
    </row>
    <row r="480" spans="1:3" x14ac:dyDescent="0.25">
      <c r="A480" s="1" t="b">
        <f>ISNUMBER(SEARCH(Popayan_Cali!$F$7,Municipios!G482,1))</f>
        <v>0</v>
      </c>
      <c r="C480" s="1" t="b">
        <f>ISNUMBER(SEARCH($F$8,Municipios!G482,1))</f>
        <v>0</v>
      </c>
    </row>
    <row r="481" spans="1:3" x14ac:dyDescent="0.25">
      <c r="A481" s="1" t="b">
        <f>ISNUMBER(SEARCH(Popayan_Cali!$F$7,Municipios!G483,1))</f>
        <v>0</v>
      </c>
      <c r="C481" s="1" t="b">
        <f>ISNUMBER(SEARCH($F$8,Municipios!G483,1))</f>
        <v>0</v>
      </c>
    </row>
    <row r="482" spans="1:3" x14ac:dyDescent="0.25">
      <c r="A482" s="1" t="b">
        <f>ISNUMBER(SEARCH(Popayan_Cali!$F$7,Municipios!G484,1))</f>
        <v>0</v>
      </c>
      <c r="C482" s="1" t="b">
        <f>ISNUMBER(SEARCH($F$8,Municipios!G484,1))</f>
        <v>0</v>
      </c>
    </row>
    <row r="483" spans="1:3" x14ac:dyDescent="0.25">
      <c r="A483" s="1" t="b">
        <f>ISNUMBER(SEARCH(Popayan_Cali!$F$7,Municipios!G485,1))</f>
        <v>0</v>
      </c>
      <c r="C483" s="1" t="b">
        <f>ISNUMBER(SEARCH($F$8,Municipios!G485,1))</f>
        <v>0</v>
      </c>
    </row>
    <row r="484" spans="1:3" x14ac:dyDescent="0.25">
      <c r="A484" s="1" t="b">
        <f>ISNUMBER(SEARCH(Popayan_Cali!$F$7,Municipios!G486,1))</f>
        <v>0</v>
      </c>
      <c r="C484" s="1" t="b">
        <f>ISNUMBER(SEARCH($F$8,Municipios!G486,1))</f>
        <v>0</v>
      </c>
    </row>
    <row r="485" spans="1:3" x14ac:dyDescent="0.25">
      <c r="A485" s="1" t="b">
        <f>ISNUMBER(SEARCH(Popayan_Cali!$F$7,Municipios!G487,1))</f>
        <v>0</v>
      </c>
      <c r="C485" s="1" t="b">
        <f>ISNUMBER(SEARCH($F$8,Municipios!G487,1))</f>
        <v>0</v>
      </c>
    </row>
    <row r="486" spans="1:3" x14ac:dyDescent="0.25">
      <c r="A486" s="1" t="b">
        <f>ISNUMBER(SEARCH(Popayan_Cali!$F$7,Municipios!G488,1))</f>
        <v>0</v>
      </c>
      <c r="C486" s="1" t="b">
        <f>ISNUMBER(SEARCH($F$8,Municipios!G488,1))</f>
        <v>0</v>
      </c>
    </row>
    <row r="487" spans="1:3" x14ac:dyDescent="0.25">
      <c r="A487" s="1" t="b">
        <f>ISNUMBER(SEARCH(Popayan_Cali!$F$7,Municipios!G489,1))</f>
        <v>0</v>
      </c>
      <c r="C487" s="1" t="b">
        <f>ISNUMBER(SEARCH($F$8,Municipios!G489,1))</f>
        <v>0</v>
      </c>
    </row>
    <row r="488" spans="1:3" x14ac:dyDescent="0.25">
      <c r="A488" s="1" t="b">
        <f>ISNUMBER(SEARCH(Popayan_Cali!$F$7,Municipios!G490,1))</f>
        <v>0</v>
      </c>
      <c r="C488" s="1" t="b">
        <f>ISNUMBER(SEARCH($F$8,Municipios!G490,1))</f>
        <v>0</v>
      </c>
    </row>
    <row r="489" spans="1:3" x14ac:dyDescent="0.25">
      <c r="A489" s="1" t="b">
        <f>ISNUMBER(SEARCH(Popayan_Cali!$F$7,Municipios!G491,1))</f>
        <v>0</v>
      </c>
      <c r="C489" s="1" t="b">
        <f>ISNUMBER(SEARCH($F$8,Municipios!G491,1))</f>
        <v>0</v>
      </c>
    </row>
    <row r="490" spans="1:3" x14ac:dyDescent="0.25">
      <c r="A490" s="1" t="b">
        <f>ISNUMBER(SEARCH(Popayan_Cali!$F$7,Municipios!G492,1))</f>
        <v>0</v>
      </c>
      <c r="C490" s="1" t="b">
        <f>ISNUMBER(SEARCH($F$8,Municipios!G492,1))</f>
        <v>0</v>
      </c>
    </row>
    <row r="491" spans="1:3" x14ac:dyDescent="0.25">
      <c r="A491" s="1" t="b">
        <f>ISNUMBER(SEARCH(Popayan_Cali!$F$7,Municipios!G493,1))</f>
        <v>0</v>
      </c>
      <c r="C491" s="1" t="b">
        <f>ISNUMBER(SEARCH($F$8,Municipios!G493,1))</f>
        <v>0</v>
      </c>
    </row>
    <row r="492" spans="1:3" x14ac:dyDescent="0.25">
      <c r="A492" s="1" t="b">
        <f>ISNUMBER(SEARCH(Popayan_Cali!$F$7,Municipios!G494,1))</f>
        <v>0</v>
      </c>
      <c r="C492" s="1" t="b">
        <f>ISNUMBER(SEARCH($F$8,Municipios!G494,1))</f>
        <v>0</v>
      </c>
    </row>
    <row r="493" spans="1:3" x14ac:dyDescent="0.25">
      <c r="A493" s="1" t="b">
        <f>ISNUMBER(SEARCH(Popayan_Cali!$F$7,Municipios!G495,1))</f>
        <v>0</v>
      </c>
      <c r="C493" s="1" t="b">
        <f>ISNUMBER(SEARCH($F$8,Municipios!G495,1))</f>
        <v>0</v>
      </c>
    </row>
    <row r="494" spans="1:3" x14ac:dyDescent="0.25">
      <c r="A494" s="1" t="b">
        <f>ISNUMBER(SEARCH(Popayan_Cali!$F$7,Municipios!G496,1))</f>
        <v>0</v>
      </c>
      <c r="C494" s="1" t="b">
        <f>ISNUMBER(SEARCH($F$8,Municipios!G496,1))</f>
        <v>0</v>
      </c>
    </row>
    <row r="495" spans="1:3" x14ac:dyDescent="0.25">
      <c r="A495" s="1" t="b">
        <f>ISNUMBER(SEARCH(Popayan_Cali!$F$7,Municipios!G497,1))</f>
        <v>0</v>
      </c>
      <c r="C495" s="1" t="b">
        <f>ISNUMBER(SEARCH($F$8,Municipios!G497,1))</f>
        <v>0</v>
      </c>
    </row>
    <row r="496" spans="1:3" x14ac:dyDescent="0.25">
      <c r="A496" s="1" t="b">
        <f>ISNUMBER(SEARCH(Popayan_Cali!$F$7,Municipios!G498,1))</f>
        <v>0</v>
      </c>
      <c r="C496" s="1" t="b">
        <f>ISNUMBER(SEARCH($F$8,Municipios!G498,1))</f>
        <v>0</v>
      </c>
    </row>
    <row r="497" spans="1:3" x14ac:dyDescent="0.25">
      <c r="A497" s="1" t="b">
        <f>ISNUMBER(SEARCH(Popayan_Cali!$F$7,Municipios!G499,1))</f>
        <v>0</v>
      </c>
      <c r="C497" s="1" t="b">
        <f>ISNUMBER(SEARCH($F$8,Municipios!G499,1))</f>
        <v>0</v>
      </c>
    </row>
    <row r="498" spans="1:3" x14ac:dyDescent="0.25">
      <c r="A498" s="1" t="b">
        <f>ISNUMBER(SEARCH(Popayan_Cali!$F$7,Municipios!G500,1))</f>
        <v>0</v>
      </c>
      <c r="C498" s="1" t="b">
        <f>ISNUMBER(SEARCH($F$8,Municipios!G500,1))</f>
        <v>0</v>
      </c>
    </row>
    <row r="499" spans="1:3" x14ac:dyDescent="0.25">
      <c r="A499" s="1" t="b">
        <f>ISNUMBER(SEARCH(Popayan_Cali!$F$7,Municipios!G501,1))</f>
        <v>0</v>
      </c>
      <c r="C499" s="1" t="b">
        <f>ISNUMBER(SEARCH($F$8,Municipios!G501,1))</f>
        <v>0</v>
      </c>
    </row>
    <row r="500" spans="1:3" x14ac:dyDescent="0.25">
      <c r="A500" s="1" t="b">
        <f>ISNUMBER(SEARCH(Popayan_Cali!$F$7,Municipios!G502,1))</f>
        <v>0</v>
      </c>
      <c r="C500" s="1" t="b">
        <f>ISNUMBER(SEARCH($F$8,Municipios!G502,1))</f>
        <v>0</v>
      </c>
    </row>
    <row r="501" spans="1:3" x14ac:dyDescent="0.25">
      <c r="A501" s="1" t="b">
        <f>ISNUMBER(SEARCH(Popayan_Cali!$F$7,Municipios!G503,1))</f>
        <v>0</v>
      </c>
      <c r="C501" s="1" t="b">
        <f>ISNUMBER(SEARCH($F$8,Municipios!G503,1))</f>
        <v>0</v>
      </c>
    </row>
    <row r="502" spans="1:3" x14ac:dyDescent="0.25">
      <c r="A502" s="1" t="b">
        <f>ISNUMBER(SEARCH(Popayan_Cali!$F$7,Municipios!G504,1))</f>
        <v>0</v>
      </c>
      <c r="C502" s="1" t="b">
        <f>ISNUMBER(SEARCH($F$8,Municipios!G504,1))</f>
        <v>0</v>
      </c>
    </row>
    <row r="503" spans="1:3" x14ac:dyDescent="0.25">
      <c r="A503" s="1" t="b">
        <f>ISNUMBER(SEARCH(Popayan_Cali!$F$7,Municipios!G505,1))</f>
        <v>0</v>
      </c>
      <c r="C503" s="1" t="b">
        <f>ISNUMBER(SEARCH($F$8,Municipios!G505,1))</f>
        <v>0</v>
      </c>
    </row>
    <row r="504" spans="1:3" x14ac:dyDescent="0.25">
      <c r="A504" s="1" t="b">
        <f>ISNUMBER(SEARCH(Popayan_Cali!$F$7,Municipios!G506,1))</f>
        <v>0</v>
      </c>
      <c r="C504" s="1" t="b">
        <f>ISNUMBER(SEARCH($F$8,Municipios!G506,1))</f>
        <v>0</v>
      </c>
    </row>
    <row r="505" spans="1:3" x14ac:dyDescent="0.25">
      <c r="A505" s="1" t="b">
        <f>ISNUMBER(SEARCH(Popayan_Cali!$F$7,Municipios!G507,1))</f>
        <v>0</v>
      </c>
      <c r="C505" s="1" t="b">
        <f>ISNUMBER(SEARCH($F$8,Municipios!G507,1))</f>
        <v>0</v>
      </c>
    </row>
    <row r="506" spans="1:3" x14ac:dyDescent="0.25">
      <c r="A506" s="1" t="b">
        <f>ISNUMBER(SEARCH(Popayan_Cali!$F$7,Municipios!G508,1))</f>
        <v>0</v>
      </c>
      <c r="C506" s="1" t="b">
        <f>ISNUMBER(SEARCH($F$8,Municipios!G508,1))</f>
        <v>0</v>
      </c>
    </row>
    <row r="507" spans="1:3" x14ac:dyDescent="0.25">
      <c r="A507" s="1" t="b">
        <f>ISNUMBER(SEARCH(Popayan_Cali!$F$7,Municipios!G509,1))</f>
        <v>0</v>
      </c>
      <c r="C507" s="1" t="b">
        <f>ISNUMBER(SEARCH($F$8,Municipios!G509,1))</f>
        <v>0</v>
      </c>
    </row>
    <row r="508" spans="1:3" x14ac:dyDescent="0.25">
      <c r="A508" s="1" t="b">
        <f>ISNUMBER(SEARCH(Popayan_Cali!$F$7,Municipios!G510,1))</f>
        <v>0</v>
      </c>
      <c r="C508" s="1" t="b">
        <f>ISNUMBER(SEARCH($F$8,Municipios!G510,1))</f>
        <v>0</v>
      </c>
    </row>
    <row r="509" spans="1:3" x14ac:dyDescent="0.25">
      <c r="A509" s="1" t="b">
        <f>ISNUMBER(SEARCH(Popayan_Cali!$F$7,Municipios!G511,1))</f>
        <v>0</v>
      </c>
      <c r="C509" s="1" t="b">
        <f>ISNUMBER(SEARCH($F$8,Municipios!G511,1))</f>
        <v>0</v>
      </c>
    </row>
    <row r="510" spans="1:3" x14ac:dyDescent="0.25">
      <c r="A510" s="1" t="b">
        <f>ISNUMBER(SEARCH(Popayan_Cali!$F$7,Municipios!G512,1))</f>
        <v>0</v>
      </c>
      <c r="C510" s="1" t="b">
        <f>ISNUMBER(SEARCH($F$8,Municipios!G512,1))</f>
        <v>0</v>
      </c>
    </row>
    <row r="511" spans="1:3" x14ac:dyDescent="0.25">
      <c r="A511" s="1" t="b">
        <f>ISNUMBER(SEARCH(Popayan_Cali!$F$7,Municipios!G513,1))</f>
        <v>0</v>
      </c>
      <c r="C511" s="1" t="b">
        <f>ISNUMBER(SEARCH($F$8,Municipios!G513,1))</f>
        <v>0</v>
      </c>
    </row>
    <row r="512" spans="1:3" x14ac:dyDescent="0.25">
      <c r="A512" s="1" t="b">
        <f>ISNUMBER(SEARCH(Popayan_Cali!$F$7,Municipios!G514,1))</f>
        <v>0</v>
      </c>
      <c r="C512" s="1" t="b">
        <f>ISNUMBER(SEARCH($F$8,Municipios!G514,1))</f>
        <v>0</v>
      </c>
    </row>
    <row r="513" spans="1:3" x14ac:dyDescent="0.25">
      <c r="A513" s="1" t="b">
        <f>ISNUMBER(SEARCH(Popayan_Cali!$F$7,Municipios!G515,1))</f>
        <v>0</v>
      </c>
      <c r="C513" s="1" t="b">
        <f>ISNUMBER(SEARCH($F$8,Municipios!G515,1))</f>
        <v>0</v>
      </c>
    </row>
    <row r="514" spans="1:3" x14ac:dyDescent="0.25">
      <c r="A514" s="1" t="b">
        <f>ISNUMBER(SEARCH(Popayan_Cali!$F$7,Municipios!G516,1))</f>
        <v>0</v>
      </c>
      <c r="C514" s="1" t="b">
        <f>ISNUMBER(SEARCH($F$8,Municipios!G516,1))</f>
        <v>0</v>
      </c>
    </row>
    <row r="515" spans="1:3" x14ac:dyDescent="0.25">
      <c r="A515" s="1" t="b">
        <f>ISNUMBER(SEARCH(Popayan_Cali!$F$7,Municipios!G517,1))</f>
        <v>0</v>
      </c>
      <c r="C515" s="1" t="b">
        <f>ISNUMBER(SEARCH($F$8,Municipios!G517,1))</f>
        <v>0</v>
      </c>
    </row>
    <row r="516" spans="1:3" x14ac:dyDescent="0.25">
      <c r="A516" s="1" t="b">
        <f>ISNUMBER(SEARCH(Popayan_Cali!$F$7,Municipios!G518,1))</f>
        <v>0</v>
      </c>
      <c r="C516" s="1" t="b">
        <f>ISNUMBER(SEARCH($F$8,Municipios!G518,1))</f>
        <v>0</v>
      </c>
    </row>
    <row r="517" spans="1:3" x14ac:dyDescent="0.25">
      <c r="A517" s="1" t="b">
        <f>ISNUMBER(SEARCH(Popayan_Cali!$F$7,Municipios!G519,1))</f>
        <v>0</v>
      </c>
      <c r="C517" s="1" t="b">
        <f>ISNUMBER(SEARCH($F$8,Municipios!G519,1))</f>
        <v>0</v>
      </c>
    </row>
    <row r="518" spans="1:3" x14ac:dyDescent="0.25">
      <c r="A518" s="1" t="b">
        <f>ISNUMBER(SEARCH(Popayan_Cali!$F$7,Municipios!G520,1))</f>
        <v>0</v>
      </c>
      <c r="C518" s="1" t="b">
        <f>ISNUMBER(SEARCH($F$8,Municipios!G520,1))</f>
        <v>0</v>
      </c>
    </row>
    <row r="519" spans="1:3" x14ac:dyDescent="0.25">
      <c r="A519" s="1" t="b">
        <f>ISNUMBER(SEARCH(Popayan_Cali!$F$7,Municipios!G521,1))</f>
        <v>0</v>
      </c>
      <c r="C519" s="1" t="b">
        <f>ISNUMBER(SEARCH($F$8,Municipios!G521,1))</f>
        <v>0</v>
      </c>
    </row>
    <row r="520" spans="1:3" x14ac:dyDescent="0.25">
      <c r="A520" s="1" t="b">
        <f>ISNUMBER(SEARCH(Popayan_Cali!$F$7,Municipios!G522,1))</f>
        <v>0</v>
      </c>
      <c r="C520" s="1" t="b">
        <f>ISNUMBER(SEARCH($F$8,Municipios!G522,1))</f>
        <v>0</v>
      </c>
    </row>
    <row r="521" spans="1:3" x14ac:dyDescent="0.25">
      <c r="A521" s="1" t="b">
        <f>ISNUMBER(SEARCH(Popayan_Cali!$F$7,Municipios!G523,1))</f>
        <v>0</v>
      </c>
      <c r="C521" s="1" t="b">
        <f>ISNUMBER(SEARCH($F$8,Municipios!G523,1))</f>
        <v>0</v>
      </c>
    </row>
    <row r="522" spans="1:3" x14ac:dyDescent="0.25">
      <c r="A522" s="1" t="b">
        <f>ISNUMBER(SEARCH(Popayan_Cali!$F$7,Municipios!G524,1))</f>
        <v>0</v>
      </c>
      <c r="C522" s="1" t="b">
        <f>ISNUMBER(SEARCH($F$8,Municipios!G524,1))</f>
        <v>0</v>
      </c>
    </row>
    <row r="523" spans="1:3" x14ac:dyDescent="0.25">
      <c r="A523" s="1" t="b">
        <f>ISNUMBER(SEARCH(Popayan_Cali!$F$7,Municipios!G525,1))</f>
        <v>0</v>
      </c>
      <c r="C523" s="1" t="b">
        <f>ISNUMBER(SEARCH($F$8,Municipios!G525,1))</f>
        <v>0</v>
      </c>
    </row>
    <row r="524" spans="1:3" x14ac:dyDescent="0.25">
      <c r="A524" s="1" t="b">
        <f>ISNUMBER(SEARCH(Popayan_Cali!$F$7,Municipios!G526,1))</f>
        <v>0</v>
      </c>
      <c r="C524" s="1" t="b">
        <f>ISNUMBER(SEARCH($F$8,Municipios!G526,1))</f>
        <v>0</v>
      </c>
    </row>
    <row r="525" spans="1:3" x14ac:dyDescent="0.25">
      <c r="A525" s="1" t="b">
        <f>ISNUMBER(SEARCH(Popayan_Cali!$F$7,Municipios!G527,1))</f>
        <v>0</v>
      </c>
      <c r="C525" s="1" t="b">
        <f>ISNUMBER(SEARCH($F$8,Municipios!G527,1))</f>
        <v>0</v>
      </c>
    </row>
    <row r="526" spans="1:3" x14ac:dyDescent="0.25">
      <c r="A526" s="1" t="b">
        <f>ISNUMBER(SEARCH(Popayan_Cali!$F$7,Municipios!G528,1))</f>
        <v>0</v>
      </c>
      <c r="C526" s="1" t="b">
        <f>ISNUMBER(SEARCH($F$8,Municipios!G528,1))</f>
        <v>0</v>
      </c>
    </row>
    <row r="527" spans="1:3" x14ac:dyDescent="0.25">
      <c r="A527" s="1" t="b">
        <f>ISNUMBER(SEARCH(Popayan_Cali!$F$7,Municipios!G529,1))</f>
        <v>0</v>
      </c>
      <c r="C527" s="1" t="b">
        <f>ISNUMBER(SEARCH($F$8,Municipios!G529,1))</f>
        <v>0</v>
      </c>
    </row>
    <row r="528" spans="1:3" x14ac:dyDescent="0.25">
      <c r="A528" s="1" t="b">
        <f>ISNUMBER(SEARCH(Popayan_Cali!$F$7,Municipios!G530,1))</f>
        <v>0</v>
      </c>
      <c r="C528" s="1" t="b">
        <f>ISNUMBER(SEARCH($F$8,Municipios!G530,1))</f>
        <v>0</v>
      </c>
    </row>
    <row r="529" spans="1:3" x14ac:dyDescent="0.25">
      <c r="A529" s="1" t="b">
        <f>ISNUMBER(SEARCH(Popayan_Cali!$F$7,Municipios!G531,1))</f>
        <v>0</v>
      </c>
      <c r="C529" s="1" t="b">
        <f>ISNUMBER(SEARCH($F$8,Municipios!G531,1))</f>
        <v>0</v>
      </c>
    </row>
    <row r="530" spans="1:3" x14ac:dyDescent="0.25">
      <c r="A530" s="1" t="b">
        <f>ISNUMBER(SEARCH(Popayan_Cali!$F$7,Municipios!G532,1))</f>
        <v>0</v>
      </c>
      <c r="C530" s="1" t="b">
        <f>ISNUMBER(SEARCH($F$8,Municipios!G532,1))</f>
        <v>0</v>
      </c>
    </row>
    <row r="531" spans="1:3" x14ac:dyDescent="0.25">
      <c r="A531" s="1" t="b">
        <f>ISNUMBER(SEARCH(Popayan_Cali!$F$7,Municipios!G533,1))</f>
        <v>0</v>
      </c>
      <c r="C531" s="1" t="b">
        <f>ISNUMBER(SEARCH($F$8,Municipios!G533,1))</f>
        <v>0</v>
      </c>
    </row>
    <row r="532" spans="1:3" x14ac:dyDescent="0.25">
      <c r="A532" s="1" t="b">
        <f>ISNUMBER(SEARCH(Popayan_Cali!$F$7,Municipios!G534,1))</f>
        <v>0</v>
      </c>
      <c r="C532" s="1" t="b">
        <f>ISNUMBER(SEARCH($F$8,Municipios!G534,1))</f>
        <v>0</v>
      </c>
    </row>
    <row r="533" spans="1:3" x14ac:dyDescent="0.25">
      <c r="A533" s="1" t="b">
        <f>ISNUMBER(SEARCH(Popayan_Cali!$F$7,Municipios!G535,1))</f>
        <v>0</v>
      </c>
      <c r="C533" s="1" t="b">
        <f>ISNUMBER(SEARCH($F$8,Municipios!G535,1))</f>
        <v>0</v>
      </c>
    </row>
    <row r="534" spans="1:3" x14ac:dyDescent="0.25">
      <c r="A534" s="1" t="b">
        <f>ISNUMBER(SEARCH(Popayan_Cali!$F$7,Municipios!G536,1))</f>
        <v>0</v>
      </c>
      <c r="C534" s="1" t="b">
        <f>ISNUMBER(SEARCH($F$8,Municipios!G536,1))</f>
        <v>0</v>
      </c>
    </row>
    <row r="535" spans="1:3" x14ac:dyDescent="0.25">
      <c r="A535" s="1" t="b">
        <f>ISNUMBER(SEARCH(Popayan_Cali!$F$7,Municipios!G537,1))</f>
        <v>0</v>
      </c>
      <c r="C535" s="1" t="b">
        <f>ISNUMBER(SEARCH($F$8,Municipios!G537,1))</f>
        <v>0</v>
      </c>
    </row>
    <row r="536" spans="1:3" x14ac:dyDescent="0.25">
      <c r="A536" s="1" t="b">
        <f>ISNUMBER(SEARCH(Popayan_Cali!$F$7,Municipios!G538,1))</f>
        <v>0</v>
      </c>
      <c r="C536" s="1" t="b">
        <f>ISNUMBER(SEARCH($F$8,Municipios!G538,1))</f>
        <v>0</v>
      </c>
    </row>
    <row r="537" spans="1:3" x14ac:dyDescent="0.25">
      <c r="A537" s="1" t="b">
        <f>ISNUMBER(SEARCH(Popayan_Cali!$F$7,Municipios!G539,1))</f>
        <v>0</v>
      </c>
      <c r="C537" s="1" t="b">
        <f>ISNUMBER(SEARCH($F$8,Municipios!G539,1))</f>
        <v>0</v>
      </c>
    </row>
    <row r="538" spans="1:3" x14ac:dyDescent="0.25">
      <c r="A538" s="1" t="b">
        <f>ISNUMBER(SEARCH(Popayan_Cali!$F$7,Municipios!G540,1))</f>
        <v>0</v>
      </c>
      <c r="C538" s="1" t="b">
        <f>ISNUMBER(SEARCH($F$8,Municipios!G540,1))</f>
        <v>0</v>
      </c>
    </row>
    <row r="539" spans="1:3" x14ac:dyDescent="0.25">
      <c r="A539" s="1" t="b">
        <f>ISNUMBER(SEARCH(Popayan_Cali!$F$7,Municipios!G541,1))</f>
        <v>0</v>
      </c>
      <c r="C539" s="1" t="b">
        <f>ISNUMBER(SEARCH($F$8,Municipios!G541,1))</f>
        <v>0</v>
      </c>
    </row>
    <row r="540" spans="1:3" x14ac:dyDescent="0.25">
      <c r="A540" s="1" t="b">
        <f>ISNUMBER(SEARCH(Popayan_Cali!$F$7,Municipios!G542,1))</f>
        <v>0</v>
      </c>
      <c r="C540" s="1" t="b">
        <f>ISNUMBER(SEARCH($F$8,Municipios!G542,1))</f>
        <v>0</v>
      </c>
    </row>
    <row r="541" spans="1:3" x14ac:dyDescent="0.25">
      <c r="A541" s="1" t="b">
        <f>ISNUMBER(SEARCH(Popayan_Cali!$F$7,Municipios!G543,1))</f>
        <v>0</v>
      </c>
      <c r="C541" s="1" t="b">
        <f>ISNUMBER(SEARCH($F$8,Municipios!G543,1))</f>
        <v>0</v>
      </c>
    </row>
    <row r="542" spans="1:3" x14ac:dyDescent="0.25">
      <c r="A542" s="1" t="b">
        <f>ISNUMBER(SEARCH(Popayan_Cali!$F$7,Municipios!G544,1))</f>
        <v>0</v>
      </c>
      <c r="C542" s="1" t="b">
        <f>ISNUMBER(SEARCH($F$8,Municipios!G544,1))</f>
        <v>0</v>
      </c>
    </row>
    <row r="543" spans="1:3" x14ac:dyDescent="0.25">
      <c r="A543" s="1" t="b">
        <f>ISNUMBER(SEARCH(Popayan_Cali!$F$7,Municipios!G545,1))</f>
        <v>0</v>
      </c>
      <c r="C543" s="1" t="b">
        <f>ISNUMBER(SEARCH($F$8,Municipios!G545,1))</f>
        <v>0</v>
      </c>
    </row>
    <row r="544" spans="1:3" x14ac:dyDescent="0.25">
      <c r="A544" s="1" t="b">
        <f>ISNUMBER(SEARCH(Popayan_Cali!$F$7,Municipios!G546,1))</f>
        <v>0</v>
      </c>
      <c r="C544" s="1" t="b">
        <f>ISNUMBER(SEARCH($F$8,Municipios!G546,1))</f>
        <v>0</v>
      </c>
    </row>
    <row r="545" spans="1:3" x14ac:dyDescent="0.25">
      <c r="A545" s="1" t="b">
        <f>ISNUMBER(SEARCH(Popayan_Cali!$F$7,Municipios!G547,1))</f>
        <v>0</v>
      </c>
      <c r="C545" s="1" t="b">
        <f>ISNUMBER(SEARCH($F$8,Municipios!G547,1))</f>
        <v>0</v>
      </c>
    </row>
    <row r="546" spans="1:3" x14ac:dyDescent="0.25">
      <c r="A546" s="1" t="b">
        <f>ISNUMBER(SEARCH(Popayan_Cali!$F$7,Municipios!G548,1))</f>
        <v>0</v>
      </c>
      <c r="C546" s="1" t="b">
        <f>ISNUMBER(SEARCH($F$8,Municipios!G548,1))</f>
        <v>0</v>
      </c>
    </row>
    <row r="547" spans="1:3" x14ac:dyDescent="0.25">
      <c r="A547" s="1" t="b">
        <f>ISNUMBER(SEARCH(Popayan_Cali!$F$7,Municipios!G549,1))</f>
        <v>0</v>
      </c>
      <c r="C547" s="1" t="b">
        <f>ISNUMBER(SEARCH($F$8,Municipios!G549,1))</f>
        <v>0</v>
      </c>
    </row>
    <row r="548" spans="1:3" x14ac:dyDescent="0.25">
      <c r="A548" s="1" t="b">
        <f>ISNUMBER(SEARCH(Popayan_Cali!$F$7,Municipios!G550,1))</f>
        <v>0</v>
      </c>
      <c r="C548" s="1" t="b">
        <f>ISNUMBER(SEARCH($F$8,Municipios!G550,1))</f>
        <v>0</v>
      </c>
    </row>
    <row r="549" spans="1:3" x14ac:dyDescent="0.25">
      <c r="A549" s="1" t="b">
        <f>ISNUMBER(SEARCH(Popayan_Cali!$F$7,Municipios!G551,1))</f>
        <v>0</v>
      </c>
      <c r="C549" s="1" t="b">
        <f>ISNUMBER(SEARCH($F$8,Municipios!G551,1))</f>
        <v>0</v>
      </c>
    </row>
    <row r="550" spans="1:3" x14ac:dyDescent="0.25">
      <c r="A550" s="1" t="b">
        <f>ISNUMBER(SEARCH(Popayan_Cali!$F$7,Municipios!G552,1))</f>
        <v>0</v>
      </c>
      <c r="C550" s="1" t="b">
        <f>ISNUMBER(SEARCH($F$8,Municipios!G552,1))</f>
        <v>0</v>
      </c>
    </row>
    <row r="551" spans="1:3" x14ac:dyDescent="0.25">
      <c r="A551" s="1" t="b">
        <f>ISNUMBER(SEARCH(Popayan_Cali!$F$7,Municipios!G553,1))</f>
        <v>0</v>
      </c>
      <c r="C551" s="1" t="b">
        <f>ISNUMBER(SEARCH($F$8,Municipios!G553,1))</f>
        <v>0</v>
      </c>
    </row>
    <row r="552" spans="1:3" x14ac:dyDescent="0.25">
      <c r="A552" s="1" t="b">
        <f>ISNUMBER(SEARCH(Popayan_Cali!$F$7,Municipios!G554,1))</f>
        <v>0</v>
      </c>
      <c r="C552" s="1" t="b">
        <f>ISNUMBER(SEARCH($F$8,Municipios!G554,1))</f>
        <v>0</v>
      </c>
    </row>
    <row r="553" spans="1:3" x14ac:dyDescent="0.25">
      <c r="A553" s="1" t="b">
        <f>ISNUMBER(SEARCH(Popayan_Cali!$F$7,Municipios!G555,1))</f>
        <v>0</v>
      </c>
      <c r="C553" s="1" t="b">
        <f>ISNUMBER(SEARCH($F$8,Municipios!G555,1))</f>
        <v>0</v>
      </c>
    </row>
    <row r="554" spans="1:3" x14ac:dyDescent="0.25">
      <c r="A554" s="1" t="b">
        <f>ISNUMBER(SEARCH(Popayan_Cali!$F$7,Municipios!G556,1))</f>
        <v>0</v>
      </c>
      <c r="C554" s="1" t="b">
        <f>ISNUMBER(SEARCH($F$8,Municipios!G556,1))</f>
        <v>0</v>
      </c>
    </row>
    <row r="555" spans="1:3" x14ac:dyDescent="0.25">
      <c r="A555" s="1" t="b">
        <f>ISNUMBER(SEARCH(Popayan_Cali!$F$7,Municipios!G557,1))</f>
        <v>0</v>
      </c>
      <c r="C555" s="1" t="b">
        <f>ISNUMBER(SEARCH($F$8,Municipios!G557,1))</f>
        <v>0</v>
      </c>
    </row>
    <row r="556" spans="1:3" x14ac:dyDescent="0.25">
      <c r="A556" s="1" t="b">
        <f>ISNUMBER(SEARCH(Popayan_Cali!$F$7,Municipios!G558,1))</f>
        <v>0</v>
      </c>
      <c r="C556" s="1" t="b">
        <f>ISNUMBER(SEARCH($F$8,Municipios!G558,1))</f>
        <v>0</v>
      </c>
    </row>
    <row r="557" spans="1:3" x14ac:dyDescent="0.25">
      <c r="A557" s="1" t="b">
        <f>ISNUMBER(SEARCH(Popayan_Cali!$F$7,Municipios!G559,1))</f>
        <v>0</v>
      </c>
      <c r="C557" s="1" t="b">
        <f>ISNUMBER(SEARCH($F$8,Municipios!G559,1))</f>
        <v>0</v>
      </c>
    </row>
    <row r="558" spans="1:3" x14ac:dyDescent="0.25">
      <c r="A558" s="1" t="b">
        <f>ISNUMBER(SEARCH(Popayan_Cali!$F$7,Municipios!G560,1))</f>
        <v>0</v>
      </c>
      <c r="C558" s="1" t="b">
        <f>ISNUMBER(SEARCH($F$8,Municipios!G560,1))</f>
        <v>0</v>
      </c>
    </row>
    <row r="559" spans="1:3" x14ac:dyDescent="0.25">
      <c r="A559" s="1" t="b">
        <f>ISNUMBER(SEARCH(Popayan_Cali!$F$7,Municipios!G561,1))</f>
        <v>0</v>
      </c>
      <c r="C559" s="1" t="b">
        <f>ISNUMBER(SEARCH($F$8,Municipios!G561,1))</f>
        <v>0</v>
      </c>
    </row>
    <row r="560" spans="1:3" x14ac:dyDescent="0.25">
      <c r="A560" s="1" t="b">
        <f>ISNUMBER(SEARCH(Popayan_Cali!$F$7,Municipios!G562,1))</f>
        <v>0</v>
      </c>
      <c r="C560" s="1" t="b">
        <f>ISNUMBER(SEARCH($F$8,Municipios!G562,1))</f>
        <v>0</v>
      </c>
    </row>
    <row r="561" spans="1:3" x14ac:dyDescent="0.25">
      <c r="A561" s="1" t="b">
        <f>ISNUMBER(SEARCH(Popayan_Cali!$F$7,Municipios!G563,1))</f>
        <v>0</v>
      </c>
      <c r="C561" s="1" t="b">
        <f>ISNUMBER(SEARCH($F$8,Municipios!G563,1))</f>
        <v>0</v>
      </c>
    </row>
    <row r="562" spans="1:3" x14ac:dyDescent="0.25">
      <c r="A562" s="1" t="b">
        <f>ISNUMBER(SEARCH(Popayan_Cali!$F$7,Municipios!G564,1))</f>
        <v>0</v>
      </c>
      <c r="C562" s="1" t="b">
        <f>ISNUMBER(SEARCH($F$8,Municipios!G564,1))</f>
        <v>0</v>
      </c>
    </row>
    <row r="563" spans="1:3" x14ac:dyDescent="0.25">
      <c r="A563" s="1" t="b">
        <f>ISNUMBER(SEARCH(Popayan_Cali!$F$7,Municipios!G565,1))</f>
        <v>0</v>
      </c>
      <c r="C563" s="1" t="b">
        <f>ISNUMBER(SEARCH($F$8,Municipios!G565,1))</f>
        <v>0</v>
      </c>
    </row>
    <row r="564" spans="1:3" x14ac:dyDescent="0.25">
      <c r="A564" s="1" t="b">
        <f>ISNUMBER(SEARCH(Popayan_Cali!$F$7,Municipios!G566,1))</f>
        <v>0</v>
      </c>
      <c r="C564" s="1" t="b">
        <f>ISNUMBER(SEARCH($F$8,Municipios!G566,1))</f>
        <v>0</v>
      </c>
    </row>
    <row r="565" spans="1:3" x14ac:dyDescent="0.25">
      <c r="A565" s="1" t="b">
        <f>ISNUMBER(SEARCH(Popayan_Cali!$F$7,Municipios!G567,1))</f>
        <v>0</v>
      </c>
      <c r="C565" s="1" t="b">
        <f>ISNUMBER(SEARCH($F$8,Municipios!G567,1))</f>
        <v>0</v>
      </c>
    </row>
    <row r="566" spans="1:3" x14ac:dyDescent="0.25">
      <c r="A566" s="1" t="b">
        <f>ISNUMBER(SEARCH(Popayan_Cali!$F$7,Municipios!G568,1))</f>
        <v>0</v>
      </c>
      <c r="C566" s="1" t="b">
        <f>ISNUMBER(SEARCH($F$8,Municipios!G568,1))</f>
        <v>0</v>
      </c>
    </row>
    <row r="567" spans="1:3" x14ac:dyDescent="0.25">
      <c r="A567" s="1" t="b">
        <f>ISNUMBER(SEARCH(Popayan_Cali!$F$7,Municipios!G569,1))</f>
        <v>0</v>
      </c>
      <c r="C567" s="1" t="b">
        <f>ISNUMBER(SEARCH($F$8,Municipios!G569,1))</f>
        <v>0</v>
      </c>
    </row>
    <row r="568" spans="1:3" x14ac:dyDescent="0.25">
      <c r="A568" s="1" t="b">
        <f>ISNUMBER(SEARCH(Popayan_Cali!$F$7,Municipios!G570,1))</f>
        <v>0</v>
      </c>
      <c r="C568" s="1" t="b">
        <f>ISNUMBER(SEARCH($F$8,Municipios!G570,1))</f>
        <v>0</v>
      </c>
    </row>
    <row r="569" spans="1:3" x14ac:dyDescent="0.25">
      <c r="A569" s="1" t="b">
        <f>ISNUMBER(SEARCH(Popayan_Cali!$F$7,Municipios!G571,1))</f>
        <v>0</v>
      </c>
      <c r="C569" s="1" t="b">
        <f>ISNUMBER(SEARCH($F$8,Municipios!G571,1))</f>
        <v>0</v>
      </c>
    </row>
    <row r="570" spans="1:3" x14ac:dyDescent="0.25">
      <c r="A570" s="1" t="b">
        <f>ISNUMBER(SEARCH(Popayan_Cali!$F$7,Municipios!G572,1))</f>
        <v>0</v>
      </c>
      <c r="C570" s="1" t="b">
        <f>ISNUMBER(SEARCH($F$8,Municipios!G572,1))</f>
        <v>0</v>
      </c>
    </row>
    <row r="571" spans="1:3" x14ac:dyDescent="0.25">
      <c r="A571" s="1" t="b">
        <f>ISNUMBER(SEARCH(Popayan_Cali!$F$7,Municipios!G573,1))</f>
        <v>0</v>
      </c>
      <c r="C571" s="1" t="b">
        <f>ISNUMBER(SEARCH($F$8,Municipios!G573,1))</f>
        <v>0</v>
      </c>
    </row>
    <row r="572" spans="1:3" x14ac:dyDescent="0.25">
      <c r="A572" s="1" t="b">
        <f>ISNUMBER(SEARCH(Popayan_Cali!$F$7,Municipios!G574,1))</f>
        <v>0</v>
      </c>
      <c r="C572" s="1" t="b">
        <f>ISNUMBER(SEARCH($F$8,Municipios!G574,1))</f>
        <v>0</v>
      </c>
    </row>
    <row r="573" spans="1:3" x14ac:dyDescent="0.25">
      <c r="A573" s="1" t="b">
        <f>ISNUMBER(SEARCH(Popayan_Cali!$F$7,Municipios!G575,1))</f>
        <v>0</v>
      </c>
      <c r="C573" s="1" t="b">
        <f>ISNUMBER(SEARCH($F$8,Municipios!G575,1))</f>
        <v>0</v>
      </c>
    </row>
    <row r="574" spans="1:3" x14ac:dyDescent="0.25">
      <c r="A574" s="1" t="b">
        <f>ISNUMBER(SEARCH(Popayan_Cali!$F$7,Municipios!G576,1))</f>
        <v>0</v>
      </c>
      <c r="C574" s="1" t="b">
        <f>ISNUMBER(SEARCH($F$8,Municipios!G576,1))</f>
        <v>0</v>
      </c>
    </row>
    <row r="575" spans="1:3" x14ac:dyDescent="0.25">
      <c r="A575" s="1" t="b">
        <f>ISNUMBER(SEARCH(Popayan_Cali!$F$7,Municipios!G577,1))</f>
        <v>0</v>
      </c>
      <c r="C575" s="1" t="b">
        <f>ISNUMBER(SEARCH($F$8,Municipios!G577,1))</f>
        <v>0</v>
      </c>
    </row>
    <row r="576" spans="1:3" x14ac:dyDescent="0.25">
      <c r="A576" s="1" t="b">
        <f>ISNUMBER(SEARCH(Popayan_Cali!$F$7,Municipios!G578,1))</f>
        <v>0</v>
      </c>
      <c r="C576" s="1" t="b">
        <f>ISNUMBER(SEARCH($F$8,Municipios!G578,1))</f>
        <v>0</v>
      </c>
    </row>
    <row r="577" spans="1:3" x14ac:dyDescent="0.25">
      <c r="A577" s="1" t="b">
        <f>ISNUMBER(SEARCH(Popayan_Cali!$F$7,Municipios!G579,1))</f>
        <v>0</v>
      </c>
      <c r="C577" s="1" t="b">
        <f>ISNUMBER(SEARCH($F$8,Municipios!G579,1))</f>
        <v>0</v>
      </c>
    </row>
    <row r="578" spans="1:3" x14ac:dyDescent="0.25">
      <c r="A578" s="1" t="b">
        <f>ISNUMBER(SEARCH(Popayan_Cali!$F$7,Municipios!G580,1))</f>
        <v>0</v>
      </c>
      <c r="C578" s="1" t="b">
        <f>ISNUMBER(SEARCH($F$8,Municipios!G580,1))</f>
        <v>0</v>
      </c>
    </row>
    <row r="579" spans="1:3" x14ac:dyDescent="0.25">
      <c r="A579" s="1" t="b">
        <f>ISNUMBER(SEARCH(Popayan_Cali!$F$7,Municipios!G581,1))</f>
        <v>0</v>
      </c>
      <c r="C579" s="1" t="b">
        <f>ISNUMBER(SEARCH($F$8,Municipios!G581,1))</f>
        <v>0</v>
      </c>
    </row>
    <row r="580" spans="1:3" x14ac:dyDescent="0.25">
      <c r="A580" s="1" t="b">
        <f>ISNUMBER(SEARCH(Popayan_Cali!$F$7,Municipios!G582,1))</f>
        <v>0</v>
      </c>
      <c r="C580" s="1" t="b">
        <f>ISNUMBER(SEARCH($F$8,Municipios!G582,1))</f>
        <v>0</v>
      </c>
    </row>
    <row r="581" spans="1:3" x14ac:dyDescent="0.25">
      <c r="A581" s="1" t="b">
        <f>ISNUMBER(SEARCH(Popayan_Cali!$F$7,Municipios!G583,1))</f>
        <v>0</v>
      </c>
      <c r="C581" s="1" t="b">
        <f>ISNUMBER(SEARCH($F$8,Municipios!G583,1))</f>
        <v>0</v>
      </c>
    </row>
    <row r="582" spans="1:3" x14ac:dyDescent="0.25">
      <c r="A582" s="1" t="b">
        <f>ISNUMBER(SEARCH(Popayan_Cali!$F$7,Municipios!G584,1))</f>
        <v>0</v>
      </c>
      <c r="C582" s="1" t="b">
        <f>ISNUMBER(SEARCH($F$8,Municipios!G584,1))</f>
        <v>0</v>
      </c>
    </row>
    <row r="583" spans="1:3" x14ac:dyDescent="0.25">
      <c r="A583" s="1" t="b">
        <f>ISNUMBER(SEARCH(Popayan_Cali!$F$7,Municipios!G585,1))</f>
        <v>0</v>
      </c>
      <c r="C583" s="1" t="b">
        <f>ISNUMBER(SEARCH($F$8,Municipios!G585,1))</f>
        <v>0</v>
      </c>
    </row>
    <row r="584" spans="1:3" x14ac:dyDescent="0.25">
      <c r="A584" s="1" t="b">
        <f>ISNUMBER(SEARCH(Popayan_Cali!$F$7,Municipios!G586,1))</f>
        <v>0</v>
      </c>
      <c r="C584" s="1" t="b">
        <f>ISNUMBER(SEARCH($F$8,Municipios!G586,1))</f>
        <v>0</v>
      </c>
    </row>
    <row r="585" spans="1:3" x14ac:dyDescent="0.25">
      <c r="A585" s="1" t="b">
        <f>ISNUMBER(SEARCH(Popayan_Cali!$F$7,Municipios!G587,1))</f>
        <v>0</v>
      </c>
      <c r="C585" s="1" t="b">
        <f>ISNUMBER(SEARCH($F$8,Municipios!G587,1))</f>
        <v>0</v>
      </c>
    </row>
    <row r="586" spans="1:3" x14ac:dyDescent="0.25">
      <c r="A586" s="1" t="b">
        <f>ISNUMBER(SEARCH(Popayan_Cali!$F$7,Municipios!G588,1))</f>
        <v>0</v>
      </c>
      <c r="C586" s="1" t="b">
        <f>ISNUMBER(SEARCH($F$8,Municipios!G588,1))</f>
        <v>0</v>
      </c>
    </row>
    <row r="587" spans="1:3" x14ac:dyDescent="0.25">
      <c r="A587" s="1" t="b">
        <f>ISNUMBER(SEARCH(Popayan_Cali!$F$7,Municipios!G589,1))</f>
        <v>0</v>
      </c>
      <c r="C587" s="1" t="b">
        <f>ISNUMBER(SEARCH($F$8,Municipios!G589,1))</f>
        <v>0</v>
      </c>
    </row>
    <row r="588" spans="1:3" x14ac:dyDescent="0.25">
      <c r="A588" s="1" t="b">
        <f>ISNUMBER(SEARCH(Popayan_Cali!$F$7,Municipios!G590,1))</f>
        <v>0</v>
      </c>
      <c r="C588" s="1" t="b">
        <f>ISNUMBER(SEARCH($F$8,Municipios!G590,1))</f>
        <v>0</v>
      </c>
    </row>
    <row r="589" spans="1:3" x14ac:dyDescent="0.25">
      <c r="A589" s="1" t="b">
        <f>ISNUMBER(SEARCH(Popayan_Cali!$F$7,Municipios!G591,1))</f>
        <v>0</v>
      </c>
      <c r="C589" s="1" t="b">
        <f>ISNUMBER(SEARCH($F$8,Municipios!G591,1))</f>
        <v>0</v>
      </c>
    </row>
    <row r="590" spans="1:3" x14ac:dyDescent="0.25">
      <c r="A590" s="1" t="b">
        <f>ISNUMBER(SEARCH(Popayan_Cali!$F$7,Municipios!G592,1))</f>
        <v>0</v>
      </c>
      <c r="C590" s="1" t="b">
        <f>ISNUMBER(SEARCH($F$8,Municipios!G592,1))</f>
        <v>0</v>
      </c>
    </row>
    <row r="591" spans="1:3" x14ac:dyDescent="0.25">
      <c r="A591" s="1" t="b">
        <f>ISNUMBER(SEARCH(Popayan_Cali!$F$7,Municipios!G593,1))</f>
        <v>0</v>
      </c>
      <c r="C591" s="1" t="b">
        <f>ISNUMBER(SEARCH($F$8,Municipios!G593,1))</f>
        <v>0</v>
      </c>
    </row>
    <row r="592" spans="1:3" x14ac:dyDescent="0.25">
      <c r="A592" s="1" t="b">
        <f>ISNUMBER(SEARCH(Popayan_Cali!$F$7,Municipios!G594,1))</f>
        <v>0</v>
      </c>
      <c r="C592" s="1" t="b">
        <f>ISNUMBER(SEARCH($F$8,Municipios!G594,1))</f>
        <v>0</v>
      </c>
    </row>
    <row r="593" spans="1:3" x14ac:dyDescent="0.25">
      <c r="A593" s="1" t="b">
        <f>ISNUMBER(SEARCH(Popayan_Cali!$F$7,Municipios!G595,1))</f>
        <v>0</v>
      </c>
      <c r="C593" s="1" t="b">
        <f>ISNUMBER(SEARCH($F$8,Municipios!G595,1))</f>
        <v>0</v>
      </c>
    </row>
    <row r="594" spans="1:3" x14ac:dyDescent="0.25">
      <c r="A594" s="1" t="b">
        <f>ISNUMBER(SEARCH(Popayan_Cali!$F$7,Municipios!G596,1))</f>
        <v>0</v>
      </c>
      <c r="C594" s="1" t="b">
        <f>ISNUMBER(SEARCH($F$8,Municipios!G596,1))</f>
        <v>0</v>
      </c>
    </row>
    <row r="595" spans="1:3" x14ac:dyDescent="0.25">
      <c r="A595" s="1" t="b">
        <f>ISNUMBER(SEARCH(Popayan_Cali!$F$7,Municipios!G597,1))</f>
        <v>0</v>
      </c>
      <c r="C595" s="1" t="b">
        <f>ISNUMBER(SEARCH($F$8,Municipios!G597,1))</f>
        <v>0</v>
      </c>
    </row>
    <row r="596" spans="1:3" x14ac:dyDescent="0.25">
      <c r="A596" s="1" t="b">
        <f>ISNUMBER(SEARCH(Popayan_Cali!$F$7,Municipios!G598,1))</f>
        <v>0</v>
      </c>
      <c r="C596" s="1" t="b">
        <f>ISNUMBER(SEARCH($F$8,Municipios!G598,1))</f>
        <v>0</v>
      </c>
    </row>
    <row r="597" spans="1:3" x14ac:dyDescent="0.25">
      <c r="A597" s="1" t="b">
        <f>ISNUMBER(SEARCH(Popayan_Cali!$F$7,Municipios!G599,1))</f>
        <v>0</v>
      </c>
      <c r="C597" s="1" t="b">
        <f>ISNUMBER(SEARCH($F$8,Municipios!G599,1))</f>
        <v>0</v>
      </c>
    </row>
    <row r="598" spans="1:3" x14ac:dyDescent="0.25">
      <c r="A598" s="1" t="b">
        <f>ISNUMBER(SEARCH(Popayan_Cali!$F$7,Municipios!G600,1))</f>
        <v>0</v>
      </c>
      <c r="C598" s="1" t="b">
        <f>ISNUMBER(SEARCH($F$8,Municipios!G600,1))</f>
        <v>0</v>
      </c>
    </row>
    <row r="599" spans="1:3" x14ac:dyDescent="0.25">
      <c r="A599" s="1" t="b">
        <f>ISNUMBER(SEARCH(Popayan_Cali!$F$7,Municipios!G601,1))</f>
        <v>0</v>
      </c>
      <c r="C599" s="1" t="b">
        <f>ISNUMBER(SEARCH($F$8,Municipios!G601,1))</f>
        <v>0</v>
      </c>
    </row>
    <row r="600" spans="1:3" x14ac:dyDescent="0.25">
      <c r="A600" s="1" t="b">
        <f>ISNUMBER(SEARCH(Popayan_Cali!$F$7,Municipios!G602,1))</f>
        <v>0</v>
      </c>
      <c r="C600" s="1" t="b">
        <f>ISNUMBER(SEARCH($F$8,Municipios!G602,1))</f>
        <v>0</v>
      </c>
    </row>
    <row r="601" spans="1:3" x14ac:dyDescent="0.25">
      <c r="A601" s="1" t="b">
        <f>ISNUMBER(SEARCH(Popayan_Cali!$F$7,Municipios!G603,1))</f>
        <v>0</v>
      </c>
      <c r="C601" s="1" t="b">
        <f>ISNUMBER(SEARCH($F$8,Municipios!G603,1))</f>
        <v>0</v>
      </c>
    </row>
    <row r="602" spans="1:3" x14ac:dyDescent="0.25">
      <c r="A602" s="1" t="b">
        <f>ISNUMBER(SEARCH(Popayan_Cali!$F$7,Municipios!G604,1))</f>
        <v>0</v>
      </c>
      <c r="C602" s="1" t="b">
        <f>ISNUMBER(SEARCH($F$8,Municipios!G604,1))</f>
        <v>0</v>
      </c>
    </row>
    <row r="603" spans="1:3" x14ac:dyDescent="0.25">
      <c r="A603" s="1" t="b">
        <f>ISNUMBER(SEARCH(Popayan_Cali!$F$7,Municipios!G605,1))</f>
        <v>0</v>
      </c>
      <c r="C603" s="1" t="b">
        <f>ISNUMBER(SEARCH($F$8,Municipios!G605,1))</f>
        <v>0</v>
      </c>
    </row>
    <row r="604" spans="1:3" x14ac:dyDescent="0.25">
      <c r="A604" s="1" t="b">
        <f>ISNUMBER(SEARCH(Popayan_Cali!$F$7,Municipios!G606,1))</f>
        <v>0</v>
      </c>
      <c r="C604" s="1" t="b">
        <f>ISNUMBER(SEARCH($F$8,Municipios!G606,1))</f>
        <v>0</v>
      </c>
    </row>
    <row r="605" spans="1:3" x14ac:dyDescent="0.25">
      <c r="A605" s="1" t="b">
        <f>ISNUMBER(SEARCH(Popayan_Cali!$F$7,Municipios!G607,1))</f>
        <v>0</v>
      </c>
      <c r="C605" s="1" t="b">
        <f>ISNUMBER(SEARCH($F$8,Municipios!G607,1))</f>
        <v>0</v>
      </c>
    </row>
    <row r="606" spans="1:3" x14ac:dyDescent="0.25">
      <c r="A606" s="1" t="b">
        <f>ISNUMBER(SEARCH(Popayan_Cali!$F$7,Municipios!G608,1))</f>
        <v>0</v>
      </c>
      <c r="C606" s="1" t="b">
        <f>ISNUMBER(SEARCH($F$8,Municipios!G608,1))</f>
        <v>0</v>
      </c>
    </row>
    <row r="607" spans="1:3" x14ac:dyDescent="0.25">
      <c r="A607" s="1" t="b">
        <f>ISNUMBER(SEARCH(Popayan_Cali!$F$7,Municipios!G609,1))</f>
        <v>0</v>
      </c>
      <c r="C607" s="1" t="b">
        <f>ISNUMBER(SEARCH($F$8,Municipios!G609,1))</f>
        <v>0</v>
      </c>
    </row>
    <row r="608" spans="1:3" x14ac:dyDescent="0.25">
      <c r="A608" s="1" t="b">
        <f>ISNUMBER(SEARCH(Popayan_Cali!$F$7,Municipios!G610,1))</f>
        <v>0</v>
      </c>
      <c r="C608" s="1" t="b">
        <f>ISNUMBER(SEARCH($F$8,Municipios!G610,1))</f>
        <v>0</v>
      </c>
    </row>
    <row r="609" spans="1:3" x14ac:dyDescent="0.25">
      <c r="A609" s="1" t="b">
        <f>ISNUMBER(SEARCH(Popayan_Cali!$F$7,Municipios!G611,1))</f>
        <v>0</v>
      </c>
      <c r="C609" s="1" t="b">
        <f>ISNUMBER(SEARCH($F$8,Municipios!G611,1))</f>
        <v>0</v>
      </c>
    </row>
    <row r="610" spans="1:3" x14ac:dyDescent="0.25">
      <c r="A610" s="1" t="b">
        <f>ISNUMBER(SEARCH(Popayan_Cali!$F$7,Municipios!G612,1))</f>
        <v>0</v>
      </c>
      <c r="C610" s="1" t="b">
        <f>ISNUMBER(SEARCH($F$8,Municipios!G612,1))</f>
        <v>0</v>
      </c>
    </row>
    <row r="611" spans="1:3" x14ac:dyDescent="0.25">
      <c r="A611" s="1" t="b">
        <f>ISNUMBER(SEARCH(Popayan_Cali!$F$7,Municipios!G613,1))</f>
        <v>0</v>
      </c>
      <c r="C611" s="1" t="b">
        <f>ISNUMBER(SEARCH($F$8,Municipios!G613,1))</f>
        <v>0</v>
      </c>
    </row>
    <row r="612" spans="1:3" x14ac:dyDescent="0.25">
      <c r="A612" s="1" t="b">
        <f>ISNUMBER(SEARCH(Popayan_Cali!$F$7,Municipios!G614,1))</f>
        <v>0</v>
      </c>
      <c r="C612" s="1" t="b">
        <f>ISNUMBER(SEARCH($F$8,Municipios!G614,1))</f>
        <v>0</v>
      </c>
    </row>
    <row r="613" spans="1:3" x14ac:dyDescent="0.25">
      <c r="A613" s="1" t="b">
        <f>ISNUMBER(SEARCH(Popayan_Cali!$F$7,Municipios!G615,1))</f>
        <v>0</v>
      </c>
      <c r="C613" s="1" t="b">
        <f>ISNUMBER(SEARCH($F$8,Municipios!G615,1))</f>
        <v>0</v>
      </c>
    </row>
    <row r="614" spans="1:3" x14ac:dyDescent="0.25">
      <c r="A614" s="1" t="b">
        <f>ISNUMBER(SEARCH(Popayan_Cali!$F$7,Municipios!G616,1))</f>
        <v>0</v>
      </c>
      <c r="C614" s="1" t="b">
        <f>ISNUMBER(SEARCH($F$8,Municipios!G616,1))</f>
        <v>0</v>
      </c>
    </row>
    <row r="615" spans="1:3" x14ac:dyDescent="0.25">
      <c r="A615" s="1" t="b">
        <f>ISNUMBER(SEARCH(Popayan_Cali!$F$7,Municipios!G617,1))</f>
        <v>0</v>
      </c>
      <c r="C615" s="1" t="b">
        <f>ISNUMBER(SEARCH($F$8,Municipios!G617,1))</f>
        <v>0</v>
      </c>
    </row>
    <row r="616" spans="1:3" x14ac:dyDescent="0.25">
      <c r="A616" s="1" t="b">
        <f>ISNUMBER(SEARCH(Popayan_Cali!$F$7,Municipios!G618,1))</f>
        <v>0</v>
      </c>
      <c r="C616" s="1" t="b">
        <f>ISNUMBER(SEARCH($F$8,Municipios!G618,1))</f>
        <v>0</v>
      </c>
    </row>
    <row r="617" spans="1:3" x14ac:dyDescent="0.25">
      <c r="A617" s="1" t="b">
        <f>ISNUMBER(SEARCH(Popayan_Cali!$F$7,Municipios!G619,1))</f>
        <v>0</v>
      </c>
      <c r="C617" s="1" t="b">
        <f>ISNUMBER(SEARCH($F$8,Municipios!G619,1))</f>
        <v>0</v>
      </c>
    </row>
    <row r="618" spans="1:3" x14ac:dyDescent="0.25">
      <c r="A618" s="1" t="b">
        <f>ISNUMBER(SEARCH(Popayan_Cali!$F$7,Municipios!G620,1))</f>
        <v>0</v>
      </c>
      <c r="C618" s="1" t="b">
        <f>ISNUMBER(SEARCH($F$8,Municipios!G620,1))</f>
        <v>0</v>
      </c>
    </row>
    <row r="619" spans="1:3" x14ac:dyDescent="0.25">
      <c r="A619" s="1" t="b">
        <f>ISNUMBER(SEARCH(Popayan_Cali!$F$7,Municipios!G621,1))</f>
        <v>0</v>
      </c>
      <c r="C619" s="1" t="b">
        <f>ISNUMBER(SEARCH($F$8,Municipios!G621,1))</f>
        <v>0</v>
      </c>
    </row>
    <row r="620" spans="1:3" x14ac:dyDescent="0.25">
      <c r="A620" s="1" t="b">
        <f>ISNUMBER(SEARCH(Popayan_Cali!$F$7,Municipios!G622,1))</f>
        <v>0</v>
      </c>
      <c r="C620" s="1" t="b">
        <f>ISNUMBER(SEARCH($F$8,Municipios!G622,1))</f>
        <v>0</v>
      </c>
    </row>
    <row r="621" spans="1:3" x14ac:dyDescent="0.25">
      <c r="A621" s="1" t="b">
        <f>ISNUMBER(SEARCH(Popayan_Cali!$F$7,Municipios!G623,1))</f>
        <v>0</v>
      </c>
      <c r="C621" s="1" t="b">
        <f>ISNUMBER(SEARCH($F$8,Municipios!G623,1))</f>
        <v>0</v>
      </c>
    </row>
    <row r="622" spans="1:3" x14ac:dyDescent="0.25">
      <c r="A622" s="1" t="b">
        <f>ISNUMBER(SEARCH(Popayan_Cali!$F$7,Municipios!G624,1))</f>
        <v>0</v>
      </c>
      <c r="C622" s="1" t="b">
        <f>ISNUMBER(SEARCH($F$8,Municipios!G624,1))</f>
        <v>0</v>
      </c>
    </row>
    <row r="623" spans="1:3" x14ac:dyDescent="0.25">
      <c r="A623" s="1" t="b">
        <f>ISNUMBER(SEARCH(Popayan_Cali!$F$7,Municipios!G625,1))</f>
        <v>0</v>
      </c>
      <c r="C623" s="1" t="b">
        <f>ISNUMBER(SEARCH($F$8,Municipios!G625,1))</f>
        <v>0</v>
      </c>
    </row>
    <row r="624" spans="1:3" x14ac:dyDescent="0.25">
      <c r="A624" s="1" t="b">
        <f>ISNUMBER(SEARCH(Popayan_Cali!$F$7,Municipios!G626,1))</f>
        <v>0</v>
      </c>
      <c r="C624" s="1" t="b">
        <f>ISNUMBER(SEARCH($F$8,Municipios!G626,1))</f>
        <v>0</v>
      </c>
    </row>
    <row r="625" spans="1:3" x14ac:dyDescent="0.25">
      <c r="A625" s="1" t="b">
        <f>ISNUMBER(SEARCH(Popayan_Cali!$F$7,Municipios!G627,1))</f>
        <v>0</v>
      </c>
      <c r="C625" s="1" t="b">
        <f>ISNUMBER(SEARCH($F$8,Municipios!G627,1))</f>
        <v>0</v>
      </c>
    </row>
    <row r="626" spans="1:3" x14ac:dyDescent="0.25">
      <c r="A626" s="1" t="b">
        <f>ISNUMBER(SEARCH(Popayan_Cali!$F$7,Municipios!G628,1))</f>
        <v>0</v>
      </c>
      <c r="C626" s="1" t="b">
        <f>ISNUMBER(SEARCH($F$8,Municipios!G628,1))</f>
        <v>0</v>
      </c>
    </row>
    <row r="627" spans="1:3" x14ac:dyDescent="0.25">
      <c r="A627" s="1" t="b">
        <f>ISNUMBER(SEARCH(Popayan_Cali!$F$7,Municipios!G629,1))</f>
        <v>0</v>
      </c>
      <c r="C627" s="1" t="b">
        <f>ISNUMBER(SEARCH($F$8,Municipios!G629,1))</f>
        <v>0</v>
      </c>
    </row>
    <row r="628" spans="1:3" x14ac:dyDescent="0.25">
      <c r="A628" s="1" t="b">
        <f>ISNUMBER(SEARCH(Popayan_Cali!$F$7,Municipios!G630,1))</f>
        <v>0</v>
      </c>
      <c r="C628" s="1" t="b">
        <f>ISNUMBER(SEARCH($F$8,Municipios!G630,1))</f>
        <v>0</v>
      </c>
    </row>
    <row r="629" spans="1:3" x14ac:dyDescent="0.25">
      <c r="A629" s="1" t="b">
        <f>ISNUMBER(SEARCH(Popayan_Cali!$F$7,Municipios!G631,1))</f>
        <v>0</v>
      </c>
      <c r="C629" s="1" t="b">
        <f>ISNUMBER(SEARCH($F$8,Municipios!G631,1))</f>
        <v>0</v>
      </c>
    </row>
    <row r="630" spans="1:3" x14ac:dyDescent="0.25">
      <c r="A630" s="1" t="b">
        <f>ISNUMBER(SEARCH(Popayan_Cali!$F$7,Municipios!G632,1))</f>
        <v>0</v>
      </c>
      <c r="C630" s="1" t="b">
        <f>ISNUMBER(SEARCH($F$8,Municipios!G632,1))</f>
        <v>0</v>
      </c>
    </row>
    <row r="631" spans="1:3" x14ac:dyDescent="0.25">
      <c r="A631" s="1" t="b">
        <f>ISNUMBER(SEARCH(Popayan_Cali!$F$7,Municipios!G633,1))</f>
        <v>0</v>
      </c>
      <c r="C631" s="1" t="b">
        <f>ISNUMBER(SEARCH($F$8,Municipios!G633,1))</f>
        <v>0</v>
      </c>
    </row>
    <row r="632" spans="1:3" x14ac:dyDescent="0.25">
      <c r="A632" s="1" t="b">
        <f>ISNUMBER(SEARCH(Popayan_Cali!$F$7,Municipios!G634,1))</f>
        <v>0</v>
      </c>
      <c r="C632" s="1" t="b">
        <f>ISNUMBER(SEARCH($F$8,Municipios!G634,1))</f>
        <v>0</v>
      </c>
    </row>
    <row r="633" spans="1:3" x14ac:dyDescent="0.25">
      <c r="A633" s="1" t="b">
        <f>ISNUMBER(SEARCH(Popayan_Cali!$F$7,Municipios!G635,1))</f>
        <v>0</v>
      </c>
      <c r="C633" s="1" t="b">
        <f>ISNUMBER(SEARCH($F$8,Municipios!G635,1))</f>
        <v>0</v>
      </c>
    </row>
    <row r="634" spans="1:3" x14ac:dyDescent="0.25">
      <c r="A634" s="1" t="b">
        <f>ISNUMBER(SEARCH(Popayan_Cali!$F$7,Municipios!G636,1))</f>
        <v>0</v>
      </c>
      <c r="C634" s="1" t="b">
        <f>ISNUMBER(SEARCH($F$8,Municipios!G636,1))</f>
        <v>0</v>
      </c>
    </row>
    <row r="635" spans="1:3" x14ac:dyDescent="0.25">
      <c r="A635" s="1" t="b">
        <f>ISNUMBER(SEARCH(Popayan_Cali!$F$7,Municipios!G637,1))</f>
        <v>0</v>
      </c>
      <c r="C635" s="1" t="b">
        <f>ISNUMBER(SEARCH($F$8,Municipios!G637,1))</f>
        <v>0</v>
      </c>
    </row>
    <row r="636" spans="1:3" x14ac:dyDescent="0.25">
      <c r="A636" s="1" t="b">
        <f>ISNUMBER(SEARCH(Popayan_Cali!$F$7,Municipios!G638,1))</f>
        <v>0</v>
      </c>
      <c r="C636" s="1" t="b">
        <f>ISNUMBER(SEARCH($F$8,Municipios!G638,1))</f>
        <v>0</v>
      </c>
    </row>
    <row r="637" spans="1:3" x14ac:dyDescent="0.25">
      <c r="A637" s="1" t="b">
        <f>ISNUMBER(SEARCH(Popayan_Cali!$F$7,Municipios!G639,1))</f>
        <v>0</v>
      </c>
      <c r="C637" s="1" t="b">
        <f>ISNUMBER(SEARCH($F$8,Municipios!G639,1))</f>
        <v>0</v>
      </c>
    </row>
    <row r="638" spans="1:3" x14ac:dyDescent="0.25">
      <c r="A638" s="1" t="b">
        <f>ISNUMBER(SEARCH(Popayan_Cali!$F$7,Municipios!G640,1))</f>
        <v>0</v>
      </c>
      <c r="C638" s="1" t="b">
        <f>ISNUMBER(SEARCH($F$8,Municipios!G640,1))</f>
        <v>0</v>
      </c>
    </row>
    <row r="639" spans="1:3" x14ac:dyDescent="0.25">
      <c r="A639" s="1" t="b">
        <f>ISNUMBER(SEARCH(Popayan_Cali!$F$7,Municipios!G641,1))</f>
        <v>0</v>
      </c>
      <c r="C639" s="1" t="b">
        <f>ISNUMBER(SEARCH($F$8,Municipios!G641,1))</f>
        <v>0</v>
      </c>
    </row>
    <row r="640" spans="1:3" x14ac:dyDescent="0.25">
      <c r="A640" s="1" t="b">
        <f>ISNUMBER(SEARCH(Popayan_Cali!$F$7,Municipios!G642,1))</f>
        <v>0</v>
      </c>
      <c r="C640" s="1" t="b">
        <f>ISNUMBER(SEARCH($F$8,Municipios!G642,1))</f>
        <v>0</v>
      </c>
    </row>
    <row r="641" spans="1:3" x14ac:dyDescent="0.25">
      <c r="A641" s="1" t="b">
        <f>ISNUMBER(SEARCH(Popayan_Cali!$F$7,Municipios!G643,1))</f>
        <v>0</v>
      </c>
      <c r="C641" s="1" t="b">
        <f>ISNUMBER(SEARCH($F$8,Municipios!G643,1))</f>
        <v>0</v>
      </c>
    </row>
    <row r="642" spans="1:3" x14ac:dyDescent="0.25">
      <c r="A642" s="1" t="b">
        <f>ISNUMBER(SEARCH(Popayan_Cali!$F$7,Municipios!G644,1))</f>
        <v>0</v>
      </c>
      <c r="C642" s="1" t="b">
        <f>ISNUMBER(SEARCH($F$8,Municipios!G644,1))</f>
        <v>0</v>
      </c>
    </row>
    <row r="643" spans="1:3" x14ac:dyDescent="0.25">
      <c r="A643" s="1" t="b">
        <f>ISNUMBER(SEARCH(Popayan_Cali!$F$7,Municipios!G645,1))</f>
        <v>0</v>
      </c>
      <c r="C643" s="1" t="b">
        <f>ISNUMBER(SEARCH($F$8,Municipios!G645,1))</f>
        <v>0</v>
      </c>
    </row>
    <row r="644" spans="1:3" x14ac:dyDescent="0.25">
      <c r="A644" s="1" t="b">
        <f>ISNUMBER(SEARCH(Popayan_Cali!$F$7,Municipios!G646,1))</f>
        <v>0</v>
      </c>
      <c r="C644" s="1" t="b">
        <f>ISNUMBER(SEARCH($F$8,Municipios!G646,1))</f>
        <v>0</v>
      </c>
    </row>
    <row r="645" spans="1:3" x14ac:dyDescent="0.25">
      <c r="A645" s="1" t="b">
        <f>ISNUMBER(SEARCH(Popayan_Cali!$F$7,Municipios!G647,1))</f>
        <v>0</v>
      </c>
      <c r="C645" s="1" t="b">
        <f>ISNUMBER(SEARCH($F$8,Municipios!G647,1))</f>
        <v>0</v>
      </c>
    </row>
    <row r="646" spans="1:3" x14ac:dyDescent="0.25">
      <c r="A646" s="1" t="b">
        <f>ISNUMBER(SEARCH(Popayan_Cali!$F$7,Municipios!G648,1))</f>
        <v>0</v>
      </c>
      <c r="C646" s="1" t="b">
        <f>ISNUMBER(SEARCH($F$8,Municipios!G648,1))</f>
        <v>0</v>
      </c>
    </row>
    <row r="647" spans="1:3" x14ac:dyDescent="0.25">
      <c r="A647" s="1" t="b">
        <f>ISNUMBER(SEARCH(Popayan_Cali!$F$7,Municipios!G649,1))</f>
        <v>0</v>
      </c>
      <c r="C647" s="1" t="b">
        <f>ISNUMBER(SEARCH($F$8,Municipios!G649,1))</f>
        <v>0</v>
      </c>
    </row>
    <row r="648" spans="1:3" x14ac:dyDescent="0.25">
      <c r="A648" s="1" t="b">
        <f>ISNUMBER(SEARCH(Popayan_Cali!$F$7,Municipios!G650,1))</f>
        <v>0</v>
      </c>
      <c r="C648" s="1" t="b">
        <f>ISNUMBER(SEARCH($F$8,Municipios!G650,1))</f>
        <v>0</v>
      </c>
    </row>
    <row r="649" spans="1:3" x14ac:dyDescent="0.25">
      <c r="A649" s="1" t="b">
        <f>ISNUMBER(SEARCH(Popayan_Cali!$F$7,Municipios!G651,1))</f>
        <v>0</v>
      </c>
      <c r="C649" s="1" t="b">
        <f>ISNUMBER(SEARCH($F$8,Municipios!G651,1))</f>
        <v>0</v>
      </c>
    </row>
    <row r="650" spans="1:3" x14ac:dyDescent="0.25">
      <c r="A650" s="1" t="b">
        <f>ISNUMBER(SEARCH(Popayan_Cali!$F$7,Municipios!G652,1))</f>
        <v>0</v>
      </c>
      <c r="C650" s="1" t="b">
        <f>ISNUMBER(SEARCH($F$8,Municipios!G652,1))</f>
        <v>0</v>
      </c>
    </row>
    <row r="651" spans="1:3" x14ac:dyDescent="0.25">
      <c r="A651" s="1" t="b">
        <f>ISNUMBER(SEARCH(Popayan_Cali!$F$7,Municipios!G653,1))</f>
        <v>0</v>
      </c>
      <c r="C651" s="1" t="b">
        <f>ISNUMBER(SEARCH($F$8,Municipios!G653,1))</f>
        <v>0</v>
      </c>
    </row>
    <row r="652" spans="1:3" x14ac:dyDescent="0.25">
      <c r="A652" s="1" t="b">
        <f>ISNUMBER(SEARCH(Popayan_Cali!$F$7,Municipios!G654,1))</f>
        <v>0</v>
      </c>
      <c r="C652" s="1" t="b">
        <f>ISNUMBER(SEARCH($F$8,Municipios!G654,1))</f>
        <v>0</v>
      </c>
    </row>
    <row r="653" spans="1:3" x14ac:dyDescent="0.25">
      <c r="A653" s="1" t="b">
        <f>ISNUMBER(SEARCH(Popayan_Cali!$F$7,Municipios!G655,1))</f>
        <v>0</v>
      </c>
      <c r="C653" s="1" t="b">
        <f>ISNUMBER(SEARCH($F$8,Municipios!G655,1))</f>
        <v>0</v>
      </c>
    </row>
    <row r="654" spans="1:3" x14ac:dyDescent="0.25">
      <c r="A654" s="1" t="b">
        <f>ISNUMBER(SEARCH(Popayan_Cali!$F$7,Municipios!G656,1))</f>
        <v>0</v>
      </c>
      <c r="C654" s="1" t="b">
        <f>ISNUMBER(SEARCH($F$8,Municipios!G656,1))</f>
        <v>0</v>
      </c>
    </row>
    <row r="655" spans="1:3" x14ac:dyDescent="0.25">
      <c r="A655" s="1" t="b">
        <f>ISNUMBER(SEARCH(Popayan_Cali!$F$7,Municipios!G657,1))</f>
        <v>0</v>
      </c>
      <c r="C655" s="1" t="b">
        <f>ISNUMBER(SEARCH($F$8,Municipios!G657,1))</f>
        <v>0</v>
      </c>
    </row>
    <row r="656" spans="1:3" x14ac:dyDescent="0.25">
      <c r="A656" s="1" t="b">
        <f>ISNUMBER(SEARCH(Popayan_Cali!$F$7,Municipios!G658,1))</f>
        <v>0</v>
      </c>
      <c r="C656" s="1" t="b">
        <f>ISNUMBER(SEARCH($F$8,Municipios!G658,1))</f>
        <v>0</v>
      </c>
    </row>
    <row r="657" spans="1:3" x14ac:dyDescent="0.25">
      <c r="A657" s="1" t="b">
        <f>ISNUMBER(SEARCH(Popayan_Cali!$F$7,Municipios!G659,1))</f>
        <v>0</v>
      </c>
      <c r="C657" s="1" t="b">
        <f>ISNUMBER(SEARCH($F$8,Municipios!G659,1))</f>
        <v>0</v>
      </c>
    </row>
    <row r="658" spans="1:3" x14ac:dyDescent="0.25">
      <c r="A658" s="1" t="b">
        <f>ISNUMBER(SEARCH(Popayan_Cali!$F$7,Municipios!G660,1))</f>
        <v>0</v>
      </c>
      <c r="C658" s="1" t="b">
        <f>ISNUMBER(SEARCH($F$8,Municipios!G660,1))</f>
        <v>0</v>
      </c>
    </row>
    <row r="659" spans="1:3" x14ac:dyDescent="0.25">
      <c r="A659" s="1" t="b">
        <f>ISNUMBER(SEARCH(Popayan_Cali!$F$7,Municipios!G661,1))</f>
        <v>0</v>
      </c>
      <c r="C659" s="1" t="b">
        <f>ISNUMBER(SEARCH($F$8,Municipios!G661,1))</f>
        <v>0</v>
      </c>
    </row>
    <row r="660" spans="1:3" x14ac:dyDescent="0.25">
      <c r="A660" s="1" t="b">
        <f>ISNUMBER(SEARCH(Popayan_Cali!$F$7,Municipios!G662,1))</f>
        <v>0</v>
      </c>
      <c r="C660" s="1" t="b">
        <f>ISNUMBER(SEARCH($F$8,Municipios!G662,1))</f>
        <v>0</v>
      </c>
    </row>
    <row r="661" spans="1:3" x14ac:dyDescent="0.25">
      <c r="A661" s="1" t="b">
        <f>ISNUMBER(SEARCH(Popayan_Cali!$F$7,Municipios!G663,1))</f>
        <v>0</v>
      </c>
      <c r="C661" s="1" t="b">
        <f>ISNUMBER(SEARCH($F$8,Municipios!G663,1))</f>
        <v>0</v>
      </c>
    </row>
    <row r="662" spans="1:3" x14ac:dyDescent="0.25">
      <c r="A662" s="1" t="b">
        <f>ISNUMBER(SEARCH(Popayan_Cali!$F$7,Municipios!G664,1))</f>
        <v>0</v>
      </c>
      <c r="C662" s="1" t="b">
        <f>ISNUMBER(SEARCH($F$8,Municipios!G664,1))</f>
        <v>0</v>
      </c>
    </row>
    <row r="663" spans="1:3" x14ac:dyDescent="0.25">
      <c r="A663" s="1" t="b">
        <f>ISNUMBER(SEARCH(Popayan_Cali!$F$7,Municipios!G665,1))</f>
        <v>0</v>
      </c>
      <c r="C663" s="1" t="b">
        <f>ISNUMBER(SEARCH($F$8,Municipios!G665,1))</f>
        <v>0</v>
      </c>
    </row>
    <row r="664" spans="1:3" x14ac:dyDescent="0.25">
      <c r="A664" s="1" t="b">
        <f>ISNUMBER(SEARCH(Popayan_Cali!$F$7,Municipios!G666,1))</f>
        <v>0</v>
      </c>
      <c r="C664" s="1" t="b">
        <f>ISNUMBER(SEARCH($F$8,Municipios!G666,1))</f>
        <v>0</v>
      </c>
    </row>
    <row r="665" spans="1:3" x14ac:dyDescent="0.25">
      <c r="A665" s="1" t="b">
        <f>ISNUMBER(SEARCH(Popayan_Cali!$F$7,Municipios!G667,1))</f>
        <v>0</v>
      </c>
      <c r="C665" s="1" t="b">
        <f>ISNUMBER(SEARCH($F$8,Municipios!G667,1))</f>
        <v>0</v>
      </c>
    </row>
    <row r="666" spans="1:3" x14ac:dyDescent="0.25">
      <c r="A666" s="1" t="b">
        <f>ISNUMBER(SEARCH(Popayan_Cali!$F$7,Municipios!G668,1))</f>
        <v>0</v>
      </c>
      <c r="C666" s="1" t="b">
        <f>ISNUMBER(SEARCH($F$8,Municipios!G668,1))</f>
        <v>0</v>
      </c>
    </row>
    <row r="667" spans="1:3" x14ac:dyDescent="0.25">
      <c r="A667" s="1" t="b">
        <f>ISNUMBER(SEARCH(Popayan_Cali!$F$7,Municipios!G669,1))</f>
        <v>0</v>
      </c>
      <c r="C667" s="1" t="b">
        <f>ISNUMBER(SEARCH($F$8,Municipios!G669,1))</f>
        <v>0</v>
      </c>
    </row>
    <row r="668" spans="1:3" x14ac:dyDescent="0.25">
      <c r="A668" s="1" t="b">
        <f>ISNUMBER(SEARCH(Popayan_Cali!$F$7,Municipios!G670,1))</f>
        <v>0</v>
      </c>
      <c r="C668" s="1" t="b">
        <f>ISNUMBER(SEARCH($F$8,Municipios!G670,1))</f>
        <v>0</v>
      </c>
    </row>
    <row r="669" spans="1:3" x14ac:dyDescent="0.25">
      <c r="A669" s="1" t="b">
        <f>ISNUMBER(SEARCH(Popayan_Cali!$F$7,Municipios!G671,1))</f>
        <v>0</v>
      </c>
      <c r="C669" s="1" t="b">
        <f>ISNUMBER(SEARCH($F$8,Municipios!G671,1))</f>
        <v>0</v>
      </c>
    </row>
    <row r="670" spans="1:3" x14ac:dyDescent="0.25">
      <c r="A670" s="1" t="b">
        <f>ISNUMBER(SEARCH(Popayan_Cali!$F$7,Municipios!G672,1))</f>
        <v>0</v>
      </c>
      <c r="C670" s="1" t="b">
        <f>ISNUMBER(SEARCH($F$8,Municipios!G672,1))</f>
        <v>0</v>
      </c>
    </row>
    <row r="671" spans="1:3" x14ac:dyDescent="0.25">
      <c r="A671" s="1" t="b">
        <f>ISNUMBER(SEARCH(Popayan_Cali!$F$7,Municipios!G673,1))</f>
        <v>0</v>
      </c>
      <c r="C671" s="1" t="b">
        <f>ISNUMBER(SEARCH($F$8,Municipios!G673,1))</f>
        <v>0</v>
      </c>
    </row>
    <row r="672" spans="1:3" x14ac:dyDescent="0.25">
      <c r="A672" s="1" t="b">
        <f>ISNUMBER(SEARCH(Popayan_Cali!$F$7,Municipios!G674,1))</f>
        <v>0</v>
      </c>
      <c r="C672" s="1" t="b">
        <f>ISNUMBER(SEARCH($F$8,Municipios!G674,1))</f>
        <v>0</v>
      </c>
    </row>
    <row r="673" spans="1:3" x14ac:dyDescent="0.25">
      <c r="A673" s="1" t="b">
        <f>ISNUMBER(SEARCH(Popayan_Cali!$F$7,Municipios!G675,1))</f>
        <v>0</v>
      </c>
      <c r="C673" s="1" t="b">
        <f>ISNUMBER(SEARCH($F$8,Municipios!G675,1))</f>
        <v>0</v>
      </c>
    </row>
    <row r="674" spans="1:3" x14ac:dyDescent="0.25">
      <c r="A674" s="1" t="b">
        <f>ISNUMBER(SEARCH(Popayan_Cali!$F$7,Municipios!G676,1))</f>
        <v>0</v>
      </c>
      <c r="C674" s="1" t="b">
        <f>ISNUMBER(SEARCH($F$8,Municipios!G676,1))</f>
        <v>0</v>
      </c>
    </row>
    <row r="675" spans="1:3" x14ac:dyDescent="0.25">
      <c r="A675" s="1" t="b">
        <f>ISNUMBER(SEARCH(Popayan_Cali!$F$7,Municipios!G677,1))</f>
        <v>0</v>
      </c>
      <c r="C675" s="1" t="b">
        <f>ISNUMBER(SEARCH($F$8,Municipios!G677,1))</f>
        <v>0</v>
      </c>
    </row>
    <row r="676" spans="1:3" x14ac:dyDescent="0.25">
      <c r="A676" s="1" t="b">
        <f>ISNUMBER(SEARCH(Popayan_Cali!$F$7,Municipios!G678,1))</f>
        <v>0</v>
      </c>
      <c r="C676" s="1" t="b">
        <f>ISNUMBER(SEARCH($F$8,Municipios!G678,1))</f>
        <v>0</v>
      </c>
    </row>
    <row r="677" spans="1:3" x14ac:dyDescent="0.25">
      <c r="A677" s="1" t="b">
        <f>ISNUMBER(SEARCH(Popayan_Cali!$F$7,Municipios!G679,1))</f>
        <v>0</v>
      </c>
      <c r="C677" s="1" t="b">
        <f>ISNUMBER(SEARCH($F$8,Municipios!G679,1))</f>
        <v>0</v>
      </c>
    </row>
    <row r="678" spans="1:3" x14ac:dyDescent="0.25">
      <c r="A678" s="1" t="b">
        <f>ISNUMBER(SEARCH(Popayan_Cali!$F$7,Municipios!G680,1))</f>
        <v>0</v>
      </c>
      <c r="C678" s="1" t="b">
        <f>ISNUMBER(SEARCH($F$8,Municipios!G680,1))</f>
        <v>0</v>
      </c>
    </row>
    <row r="679" spans="1:3" x14ac:dyDescent="0.25">
      <c r="A679" s="1" t="b">
        <f>ISNUMBER(SEARCH(Popayan_Cali!$F$7,Municipios!G681,1))</f>
        <v>0</v>
      </c>
      <c r="C679" s="1" t="b">
        <f>ISNUMBER(SEARCH($F$8,Municipios!G681,1))</f>
        <v>0</v>
      </c>
    </row>
    <row r="680" spans="1:3" x14ac:dyDescent="0.25">
      <c r="A680" s="1" t="b">
        <f>ISNUMBER(SEARCH(Popayan_Cali!$F$7,Municipios!G682,1))</f>
        <v>0</v>
      </c>
      <c r="C680" s="1" t="b">
        <f>ISNUMBER(SEARCH($F$8,Municipios!G682,1))</f>
        <v>0</v>
      </c>
    </row>
    <row r="681" spans="1:3" x14ac:dyDescent="0.25">
      <c r="A681" s="1" t="b">
        <f>ISNUMBER(SEARCH(Popayan_Cali!$F$7,Municipios!G683,1))</f>
        <v>0</v>
      </c>
      <c r="C681" s="1" t="b">
        <f>ISNUMBER(SEARCH($F$8,Municipios!G683,1))</f>
        <v>0</v>
      </c>
    </row>
    <row r="682" spans="1:3" x14ac:dyDescent="0.25">
      <c r="A682" s="1" t="b">
        <f>ISNUMBER(SEARCH(Popayan_Cali!$F$7,Municipios!G684,1))</f>
        <v>0</v>
      </c>
      <c r="C682" s="1" t="b">
        <f>ISNUMBER(SEARCH($F$8,Municipios!G684,1))</f>
        <v>0</v>
      </c>
    </row>
    <row r="683" spans="1:3" x14ac:dyDescent="0.25">
      <c r="A683" s="1" t="b">
        <f>ISNUMBER(SEARCH(Popayan_Cali!$F$7,Municipios!G685,1))</f>
        <v>0</v>
      </c>
      <c r="C683" s="1" t="b">
        <f>ISNUMBER(SEARCH($F$8,Municipios!G685,1))</f>
        <v>0</v>
      </c>
    </row>
    <row r="684" spans="1:3" x14ac:dyDescent="0.25">
      <c r="A684" s="1" t="b">
        <f>ISNUMBER(SEARCH(Popayan_Cali!$F$7,Municipios!G686,1))</f>
        <v>0</v>
      </c>
      <c r="C684" s="1" t="b">
        <f>ISNUMBER(SEARCH($F$8,Municipios!G686,1))</f>
        <v>0</v>
      </c>
    </row>
    <row r="685" spans="1:3" x14ac:dyDescent="0.25">
      <c r="A685" s="1" t="b">
        <f>ISNUMBER(SEARCH(Popayan_Cali!$F$7,Municipios!G687,1))</f>
        <v>0</v>
      </c>
      <c r="C685" s="1" t="b">
        <f>ISNUMBER(SEARCH($F$8,Municipios!G687,1))</f>
        <v>0</v>
      </c>
    </row>
    <row r="686" spans="1:3" x14ac:dyDescent="0.25">
      <c r="A686" s="1" t="b">
        <f>ISNUMBER(SEARCH(Popayan_Cali!$F$7,Municipios!G688,1))</f>
        <v>0</v>
      </c>
      <c r="C686" s="1" t="b">
        <f>ISNUMBER(SEARCH($F$8,Municipios!G688,1))</f>
        <v>0</v>
      </c>
    </row>
    <row r="687" spans="1:3" x14ac:dyDescent="0.25">
      <c r="A687" s="1" t="b">
        <f>ISNUMBER(SEARCH(Popayan_Cali!$F$7,Municipios!G689,1))</f>
        <v>0</v>
      </c>
      <c r="C687" s="1" t="b">
        <f>ISNUMBER(SEARCH($F$8,Municipios!G689,1))</f>
        <v>0</v>
      </c>
    </row>
    <row r="688" spans="1:3" x14ac:dyDescent="0.25">
      <c r="A688" s="1" t="b">
        <f>ISNUMBER(SEARCH(Popayan_Cali!$F$7,Municipios!G690,1))</f>
        <v>0</v>
      </c>
      <c r="C688" s="1" t="b">
        <f>ISNUMBER(SEARCH($F$8,Municipios!G690,1))</f>
        <v>0</v>
      </c>
    </row>
    <row r="689" spans="1:3" x14ac:dyDescent="0.25">
      <c r="A689" s="1" t="b">
        <f>ISNUMBER(SEARCH(Popayan_Cali!$F$7,Municipios!G691,1))</f>
        <v>0</v>
      </c>
      <c r="C689" s="1" t="b">
        <f>ISNUMBER(SEARCH($F$8,Municipios!G691,1))</f>
        <v>0</v>
      </c>
    </row>
    <row r="690" spans="1:3" x14ac:dyDescent="0.25">
      <c r="A690" s="1" t="b">
        <f>ISNUMBER(SEARCH(Popayan_Cali!$F$7,Municipios!G692,1))</f>
        <v>0</v>
      </c>
      <c r="C690" s="1" t="b">
        <f>ISNUMBER(SEARCH($F$8,Municipios!G692,1))</f>
        <v>0</v>
      </c>
    </row>
    <row r="691" spans="1:3" x14ac:dyDescent="0.25">
      <c r="A691" s="1" t="b">
        <f>ISNUMBER(SEARCH(Popayan_Cali!$F$7,Municipios!G693,1))</f>
        <v>0</v>
      </c>
      <c r="C691" s="1" t="b">
        <f>ISNUMBER(SEARCH($F$8,Municipios!G693,1))</f>
        <v>0</v>
      </c>
    </row>
    <row r="692" spans="1:3" x14ac:dyDescent="0.25">
      <c r="A692" s="1" t="b">
        <f>ISNUMBER(SEARCH(Popayan_Cali!$F$7,Municipios!G694,1))</f>
        <v>0</v>
      </c>
      <c r="C692" s="1" t="b">
        <f>ISNUMBER(SEARCH($F$8,Municipios!G694,1))</f>
        <v>0</v>
      </c>
    </row>
    <row r="693" spans="1:3" x14ac:dyDescent="0.25">
      <c r="A693" s="1" t="b">
        <f>ISNUMBER(SEARCH(Popayan_Cali!$F$7,Municipios!G695,1))</f>
        <v>0</v>
      </c>
      <c r="C693" s="1" t="b">
        <f>ISNUMBER(SEARCH($F$8,Municipios!G695,1))</f>
        <v>0</v>
      </c>
    </row>
    <row r="694" spans="1:3" x14ac:dyDescent="0.25">
      <c r="A694" s="1" t="b">
        <f>ISNUMBER(SEARCH(Popayan_Cali!$F$7,Municipios!G696,1))</f>
        <v>0</v>
      </c>
      <c r="C694" s="1" t="b">
        <f>ISNUMBER(SEARCH($F$8,Municipios!G696,1))</f>
        <v>0</v>
      </c>
    </row>
    <row r="695" spans="1:3" x14ac:dyDescent="0.25">
      <c r="A695" s="1" t="b">
        <f>ISNUMBER(SEARCH(Popayan_Cali!$F$7,Municipios!G697,1))</f>
        <v>0</v>
      </c>
      <c r="C695" s="1" t="b">
        <f>ISNUMBER(SEARCH($F$8,Municipios!G697,1))</f>
        <v>0</v>
      </c>
    </row>
    <row r="696" spans="1:3" x14ac:dyDescent="0.25">
      <c r="A696" s="1" t="b">
        <f>ISNUMBER(SEARCH(Popayan_Cali!$F$7,Municipios!G698,1))</f>
        <v>0</v>
      </c>
      <c r="C696" s="1" t="b">
        <f>ISNUMBER(SEARCH($F$8,Municipios!G698,1))</f>
        <v>0</v>
      </c>
    </row>
    <row r="697" spans="1:3" x14ac:dyDescent="0.25">
      <c r="A697" s="1" t="b">
        <f>ISNUMBER(SEARCH(Popayan_Cali!$F$7,Municipios!G699,1))</f>
        <v>0</v>
      </c>
      <c r="C697" s="1" t="b">
        <f>ISNUMBER(SEARCH($F$8,Municipios!G699,1))</f>
        <v>0</v>
      </c>
    </row>
    <row r="698" spans="1:3" x14ac:dyDescent="0.25">
      <c r="A698" s="1" t="b">
        <f>ISNUMBER(SEARCH(Popayan_Cali!$F$7,Municipios!G700,1))</f>
        <v>0</v>
      </c>
      <c r="C698" s="1" t="b">
        <f>ISNUMBER(SEARCH($F$8,Municipios!G700,1))</f>
        <v>0</v>
      </c>
    </row>
    <row r="699" spans="1:3" x14ac:dyDescent="0.25">
      <c r="A699" s="1" t="b">
        <f>ISNUMBER(SEARCH(Popayan_Cali!$F$7,Municipios!G701,1))</f>
        <v>0</v>
      </c>
      <c r="C699" s="1" t="b">
        <f>ISNUMBER(SEARCH($F$8,Municipios!G701,1))</f>
        <v>0</v>
      </c>
    </row>
    <row r="700" spans="1:3" x14ac:dyDescent="0.25">
      <c r="A700" s="1" t="b">
        <f>ISNUMBER(SEARCH(Popayan_Cali!$F$7,Municipios!G702,1))</f>
        <v>0</v>
      </c>
      <c r="C700" s="1" t="b">
        <f>ISNUMBER(SEARCH($F$8,Municipios!G702,1))</f>
        <v>0</v>
      </c>
    </row>
    <row r="701" spans="1:3" x14ac:dyDescent="0.25">
      <c r="A701" s="1" t="b">
        <f>ISNUMBER(SEARCH(Popayan_Cali!$F$7,Municipios!G703,1))</f>
        <v>0</v>
      </c>
      <c r="C701" s="1" t="b">
        <f>ISNUMBER(SEARCH($F$8,Municipios!G703,1))</f>
        <v>0</v>
      </c>
    </row>
    <row r="702" spans="1:3" x14ac:dyDescent="0.25">
      <c r="A702" s="1" t="b">
        <f>ISNUMBER(SEARCH(Popayan_Cali!$F$7,Municipios!G704,1))</f>
        <v>1</v>
      </c>
      <c r="C702" s="1" t="b">
        <f>ISNUMBER(SEARCH($F$8,Municipios!G704,1))</f>
        <v>0</v>
      </c>
    </row>
    <row r="703" spans="1:3" x14ac:dyDescent="0.25">
      <c r="A703" s="1" t="b">
        <f>ISNUMBER(SEARCH(Popayan_Cali!$F$7,Municipios!G705,1))</f>
        <v>0</v>
      </c>
      <c r="C703" s="1" t="b">
        <f>ISNUMBER(SEARCH($F$8,Municipios!G705,1))</f>
        <v>0</v>
      </c>
    </row>
    <row r="704" spans="1:3" x14ac:dyDescent="0.25">
      <c r="A704" s="1" t="b">
        <f>ISNUMBER(SEARCH(Popayan_Cali!$F$7,Municipios!G706,1))</f>
        <v>0</v>
      </c>
      <c r="C704" s="1" t="b">
        <f>ISNUMBER(SEARCH($F$8,Municipios!G706,1))</f>
        <v>0</v>
      </c>
    </row>
    <row r="705" spans="1:3" x14ac:dyDescent="0.25">
      <c r="A705" s="1" t="b">
        <f>ISNUMBER(SEARCH(Popayan_Cali!$F$7,Municipios!G707,1))</f>
        <v>0</v>
      </c>
      <c r="C705" s="1" t="b">
        <f>ISNUMBER(SEARCH($F$8,Municipios!G707,1))</f>
        <v>0</v>
      </c>
    </row>
    <row r="706" spans="1:3" x14ac:dyDescent="0.25">
      <c r="A706" s="1" t="b">
        <f>ISNUMBER(SEARCH(Popayan_Cali!$F$7,Municipios!G708,1))</f>
        <v>0</v>
      </c>
      <c r="C706" s="1" t="b">
        <f>ISNUMBER(SEARCH($F$8,Municipios!G708,1))</f>
        <v>0</v>
      </c>
    </row>
    <row r="707" spans="1:3" x14ac:dyDescent="0.25">
      <c r="A707" s="1" t="b">
        <f>ISNUMBER(SEARCH(Popayan_Cali!$F$7,Municipios!G709,1))</f>
        <v>0</v>
      </c>
      <c r="C707" s="1" t="b">
        <f>ISNUMBER(SEARCH($F$8,Municipios!G709,1))</f>
        <v>0</v>
      </c>
    </row>
    <row r="708" spans="1:3" x14ac:dyDescent="0.25">
      <c r="A708" s="1" t="b">
        <f>ISNUMBER(SEARCH(Popayan_Cali!$F$7,Municipios!G710,1))</f>
        <v>0</v>
      </c>
      <c r="C708" s="1" t="b">
        <f>ISNUMBER(SEARCH($F$8,Municipios!G710,1))</f>
        <v>0</v>
      </c>
    </row>
    <row r="709" spans="1:3" x14ac:dyDescent="0.25">
      <c r="A709" s="1" t="b">
        <f>ISNUMBER(SEARCH(Popayan_Cali!$F$7,Municipios!G711,1))</f>
        <v>0</v>
      </c>
      <c r="C709" s="1" t="b">
        <f>ISNUMBER(SEARCH($F$8,Municipios!G711,1))</f>
        <v>0</v>
      </c>
    </row>
    <row r="710" spans="1:3" x14ac:dyDescent="0.25">
      <c r="A710" s="1" t="b">
        <f>ISNUMBER(SEARCH(Popayan_Cali!$F$7,Municipios!G712,1))</f>
        <v>0</v>
      </c>
      <c r="C710" s="1" t="b">
        <f>ISNUMBER(SEARCH($F$8,Municipios!G712,1))</f>
        <v>0</v>
      </c>
    </row>
    <row r="711" spans="1:3" x14ac:dyDescent="0.25">
      <c r="A711" s="1" t="b">
        <f>ISNUMBER(SEARCH(Popayan_Cali!$F$7,Municipios!G713,1))</f>
        <v>0</v>
      </c>
      <c r="C711" s="1" t="b">
        <f>ISNUMBER(SEARCH($F$8,Municipios!G713,1))</f>
        <v>0</v>
      </c>
    </row>
    <row r="712" spans="1:3" x14ac:dyDescent="0.25">
      <c r="A712" s="1" t="b">
        <f>ISNUMBER(SEARCH(Popayan_Cali!$F$7,Municipios!G714,1))</f>
        <v>0</v>
      </c>
      <c r="C712" s="1" t="b">
        <f>ISNUMBER(SEARCH($F$8,Municipios!G714,1))</f>
        <v>0</v>
      </c>
    </row>
    <row r="713" spans="1:3" x14ac:dyDescent="0.25">
      <c r="A713" s="1" t="b">
        <f>ISNUMBER(SEARCH(Popayan_Cali!$F$7,Municipios!G715,1))</f>
        <v>0</v>
      </c>
      <c r="C713" s="1" t="b">
        <f>ISNUMBER(SEARCH($F$8,Municipios!G715,1))</f>
        <v>0</v>
      </c>
    </row>
    <row r="714" spans="1:3" x14ac:dyDescent="0.25">
      <c r="A714" s="1" t="b">
        <f>ISNUMBER(SEARCH(Popayan_Cali!$F$7,Municipios!G716,1))</f>
        <v>0</v>
      </c>
      <c r="C714" s="1" t="b">
        <f>ISNUMBER(SEARCH($F$8,Municipios!G716,1))</f>
        <v>0</v>
      </c>
    </row>
    <row r="715" spans="1:3" x14ac:dyDescent="0.25">
      <c r="A715" s="1" t="b">
        <f>ISNUMBER(SEARCH(Popayan_Cali!$F$7,Municipios!G717,1))</f>
        <v>0</v>
      </c>
      <c r="C715" s="1" t="b">
        <f>ISNUMBER(SEARCH($F$8,Municipios!G717,1))</f>
        <v>0</v>
      </c>
    </row>
    <row r="716" spans="1:3" x14ac:dyDescent="0.25">
      <c r="A716" s="1" t="b">
        <f>ISNUMBER(SEARCH(Popayan_Cali!$F$7,Municipios!G718,1))</f>
        <v>0</v>
      </c>
      <c r="C716" s="1" t="b">
        <f>ISNUMBER(SEARCH($F$8,Municipios!G718,1))</f>
        <v>0</v>
      </c>
    </row>
    <row r="717" spans="1:3" x14ac:dyDescent="0.25">
      <c r="A717" s="1" t="b">
        <f>ISNUMBER(SEARCH(Popayan_Cali!$F$7,Municipios!G719,1))</f>
        <v>0</v>
      </c>
      <c r="C717" s="1" t="b">
        <f>ISNUMBER(SEARCH($F$8,Municipios!G719,1))</f>
        <v>0</v>
      </c>
    </row>
    <row r="718" spans="1:3" x14ac:dyDescent="0.25">
      <c r="A718" s="1" t="b">
        <f>ISNUMBER(SEARCH(Popayan_Cali!$F$7,Municipios!G720,1))</f>
        <v>0</v>
      </c>
      <c r="C718" s="1" t="b">
        <f>ISNUMBER(SEARCH($F$8,Municipios!G720,1))</f>
        <v>0</v>
      </c>
    </row>
    <row r="719" spans="1:3" x14ac:dyDescent="0.25">
      <c r="A719" s="1" t="b">
        <f>ISNUMBER(SEARCH(Popayan_Cali!$F$7,Municipios!G721,1))</f>
        <v>0</v>
      </c>
      <c r="C719" s="1" t="b">
        <f>ISNUMBER(SEARCH($F$8,Municipios!G721,1))</f>
        <v>0</v>
      </c>
    </row>
    <row r="720" spans="1:3" x14ac:dyDescent="0.25">
      <c r="A720" s="1" t="b">
        <f>ISNUMBER(SEARCH(Popayan_Cali!$F$7,Municipios!G722,1))</f>
        <v>0</v>
      </c>
      <c r="C720" s="1" t="b">
        <f>ISNUMBER(SEARCH($F$8,Municipios!G722,1))</f>
        <v>0</v>
      </c>
    </row>
    <row r="721" spans="1:3" x14ac:dyDescent="0.25">
      <c r="A721" s="1" t="b">
        <f>ISNUMBER(SEARCH(Popayan_Cali!$F$7,Municipios!G723,1))</f>
        <v>0</v>
      </c>
      <c r="C721" s="1" t="b">
        <f>ISNUMBER(SEARCH($F$8,Municipios!G723,1))</f>
        <v>0</v>
      </c>
    </row>
    <row r="722" spans="1:3" x14ac:dyDescent="0.25">
      <c r="A722" s="1" t="b">
        <f>ISNUMBER(SEARCH(Popayan_Cali!$F$7,Municipios!G724,1))</f>
        <v>0</v>
      </c>
      <c r="C722" s="1" t="b">
        <f>ISNUMBER(SEARCH($F$8,Municipios!G724,1))</f>
        <v>0</v>
      </c>
    </row>
    <row r="723" spans="1:3" x14ac:dyDescent="0.25">
      <c r="A723" s="1" t="b">
        <f>ISNUMBER(SEARCH(Popayan_Cali!$F$7,Municipios!G725,1))</f>
        <v>0</v>
      </c>
      <c r="C723" s="1" t="b">
        <f>ISNUMBER(SEARCH($F$8,Municipios!G725,1))</f>
        <v>0</v>
      </c>
    </row>
    <row r="724" spans="1:3" x14ac:dyDescent="0.25">
      <c r="A724" s="1" t="b">
        <f>ISNUMBER(SEARCH(Popayan_Cali!$F$7,Municipios!G726,1))</f>
        <v>0</v>
      </c>
      <c r="C724" s="1" t="b">
        <f>ISNUMBER(SEARCH($F$8,Municipios!G726,1))</f>
        <v>0</v>
      </c>
    </row>
    <row r="725" spans="1:3" x14ac:dyDescent="0.25">
      <c r="A725" s="1" t="b">
        <f>ISNUMBER(SEARCH(Popayan_Cali!$F$7,Municipios!G727,1))</f>
        <v>0</v>
      </c>
      <c r="C725" s="1" t="b">
        <f>ISNUMBER(SEARCH($F$8,Municipios!G727,1))</f>
        <v>0</v>
      </c>
    </row>
    <row r="726" spans="1:3" x14ac:dyDescent="0.25">
      <c r="A726" s="1" t="b">
        <f>ISNUMBER(SEARCH(Popayan_Cali!$F$7,Municipios!G728,1))</f>
        <v>0</v>
      </c>
      <c r="C726" s="1" t="b">
        <f>ISNUMBER(SEARCH($F$8,Municipios!G728,1))</f>
        <v>0</v>
      </c>
    </row>
    <row r="727" spans="1:3" x14ac:dyDescent="0.25">
      <c r="A727" s="1" t="b">
        <f>ISNUMBER(SEARCH(Popayan_Cali!$F$7,Municipios!G729,1))</f>
        <v>0</v>
      </c>
      <c r="C727" s="1" t="b">
        <f>ISNUMBER(SEARCH($F$8,Municipios!G729,1))</f>
        <v>0</v>
      </c>
    </row>
    <row r="728" spans="1:3" x14ac:dyDescent="0.25">
      <c r="A728" s="1" t="b">
        <f>ISNUMBER(SEARCH(Popayan_Cali!$F$7,Municipios!G730,1))</f>
        <v>0</v>
      </c>
      <c r="C728" s="1" t="b">
        <f>ISNUMBER(SEARCH($F$8,Municipios!G730,1))</f>
        <v>0</v>
      </c>
    </row>
    <row r="729" spans="1:3" x14ac:dyDescent="0.25">
      <c r="A729" s="1" t="b">
        <f>ISNUMBER(SEARCH(Popayan_Cali!$F$7,Municipios!G731,1))</f>
        <v>0</v>
      </c>
      <c r="C729" s="1" t="b">
        <f>ISNUMBER(SEARCH($F$8,Municipios!G731,1))</f>
        <v>0</v>
      </c>
    </row>
    <row r="730" spans="1:3" x14ac:dyDescent="0.25">
      <c r="A730" s="1" t="b">
        <f>ISNUMBER(SEARCH(Popayan_Cali!$F$7,Municipios!G732,1))</f>
        <v>0</v>
      </c>
      <c r="C730" s="1" t="b">
        <f>ISNUMBER(SEARCH($F$8,Municipios!G732,1))</f>
        <v>0</v>
      </c>
    </row>
    <row r="731" spans="1:3" x14ac:dyDescent="0.25">
      <c r="A731" s="1" t="b">
        <f>ISNUMBER(SEARCH(Popayan_Cali!$F$7,Municipios!G733,1))</f>
        <v>0</v>
      </c>
      <c r="C731" s="1" t="b">
        <f>ISNUMBER(SEARCH($F$8,Municipios!G733,1))</f>
        <v>0</v>
      </c>
    </row>
    <row r="732" spans="1:3" x14ac:dyDescent="0.25">
      <c r="A732" s="1" t="b">
        <f>ISNUMBER(SEARCH(Popayan_Cali!$F$7,Municipios!G734,1))</f>
        <v>0</v>
      </c>
      <c r="C732" s="1" t="b">
        <f>ISNUMBER(SEARCH($F$8,Municipios!G734,1))</f>
        <v>0</v>
      </c>
    </row>
    <row r="733" spans="1:3" x14ac:dyDescent="0.25">
      <c r="A733" s="1" t="b">
        <f>ISNUMBER(SEARCH(Popayan_Cali!$F$7,Municipios!G735,1))</f>
        <v>0</v>
      </c>
      <c r="C733" s="1" t="b">
        <f>ISNUMBER(SEARCH($F$8,Municipios!G735,1))</f>
        <v>0</v>
      </c>
    </row>
    <row r="734" spans="1:3" x14ac:dyDescent="0.25">
      <c r="A734" s="1" t="b">
        <f>ISNUMBER(SEARCH(Popayan_Cali!$F$7,Municipios!G736,1))</f>
        <v>0</v>
      </c>
      <c r="C734" s="1" t="b">
        <f>ISNUMBER(SEARCH($F$8,Municipios!G736,1))</f>
        <v>0</v>
      </c>
    </row>
    <row r="735" spans="1:3" x14ac:dyDescent="0.25">
      <c r="A735" s="1" t="b">
        <f>ISNUMBER(SEARCH(Popayan_Cali!$F$7,Municipios!G737,1))</f>
        <v>0</v>
      </c>
      <c r="C735" s="1" t="b">
        <f>ISNUMBER(SEARCH($F$8,Municipios!G737,1))</f>
        <v>0</v>
      </c>
    </row>
    <row r="736" spans="1:3" x14ac:dyDescent="0.25">
      <c r="A736" s="1" t="b">
        <f>ISNUMBER(SEARCH(Popayan_Cali!$F$7,Municipios!G738,1))</f>
        <v>0</v>
      </c>
      <c r="C736" s="1" t="b">
        <f>ISNUMBER(SEARCH($F$8,Municipios!G738,1))</f>
        <v>0</v>
      </c>
    </row>
    <row r="737" spans="1:3" x14ac:dyDescent="0.25">
      <c r="A737" s="1" t="b">
        <f>ISNUMBER(SEARCH(Popayan_Cali!$F$7,Municipios!G739,1))</f>
        <v>0</v>
      </c>
      <c r="C737" s="1" t="b">
        <f>ISNUMBER(SEARCH($F$8,Municipios!G739,1))</f>
        <v>0</v>
      </c>
    </row>
    <row r="738" spans="1:3" x14ac:dyDescent="0.25">
      <c r="A738" s="1" t="b">
        <f>ISNUMBER(SEARCH(Popayan_Cali!$F$7,Municipios!G740,1))</f>
        <v>0</v>
      </c>
      <c r="C738" s="1" t="b">
        <f>ISNUMBER(SEARCH($F$8,Municipios!G740,1))</f>
        <v>0</v>
      </c>
    </row>
    <row r="739" spans="1:3" x14ac:dyDescent="0.25">
      <c r="A739" s="1" t="b">
        <f>ISNUMBER(SEARCH(Popayan_Cali!$F$7,Municipios!G741,1))</f>
        <v>0</v>
      </c>
      <c r="C739" s="1" t="b">
        <f>ISNUMBER(SEARCH($F$8,Municipios!G741,1))</f>
        <v>0</v>
      </c>
    </row>
    <row r="740" spans="1:3" x14ac:dyDescent="0.25">
      <c r="A740" s="1" t="b">
        <f>ISNUMBER(SEARCH(Popayan_Cali!$F$7,Municipios!G742,1))</f>
        <v>0</v>
      </c>
      <c r="C740" s="1" t="b">
        <f>ISNUMBER(SEARCH($F$8,Municipios!G742,1))</f>
        <v>0</v>
      </c>
    </row>
    <row r="741" spans="1:3" x14ac:dyDescent="0.25">
      <c r="A741" s="1" t="b">
        <f>ISNUMBER(SEARCH(Popayan_Cali!$F$7,Municipios!G743,1))</f>
        <v>0</v>
      </c>
      <c r="C741" s="1" t="b">
        <f>ISNUMBER(SEARCH($F$8,Municipios!G743,1))</f>
        <v>0</v>
      </c>
    </row>
    <row r="742" spans="1:3" x14ac:dyDescent="0.25">
      <c r="A742" s="1" t="b">
        <f>ISNUMBER(SEARCH(Popayan_Cali!$F$7,Municipios!G744,1))</f>
        <v>0</v>
      </c>
      <c r="C742" s="1" t="b">
        <f>ISNUMBER(SEARCH($F$8,Municipios!G744,1))</f>
        <v>0</v>
      </c>
    </row>
    <row r="743" spans="1:3" x14ac:dyDescent="0.25">
      <c r="A743" s="1" t="b">
        <f>ISNUMBER(SEARCH(Popayan_Cali!$F$7,Municipios!G745,1))</f>
        <v>0</v>
      </c>
      <c r="C743" s="1" t="b">
        <f>ISNUMBER(SEARCH($F$8,Municipios!G745,1))</f>
        <v>0</v>
      </c>
    </row>
    <row r="744" spans="1:3" x14ac:dyDescent="0.25">
      <c r="A744" s="1" t="b">
        <f>ISNUMBER(SEARCH(Popayan_Cali!$F$7,Municipios!G746,1))</f>
        <v>0</v>
      </c>
      <c r="C744" s="1" t="b">
        <f>ISNUMBER(SEARCH($F$8,Municipios!G746,1))</f>
        <v>0</v>
      </c>
    </row>
    <row r="745" spans="1:3" x14ac:dyDescent="0.25">
      <c r="A745" s="1" t="b">
        <f>ISNUMBER(SEARCH(Popayan_Cali!$F$7,Municipios!G747,1))</f>
        <v>0</v>
      </c>
      <c r="C745" s="1" t="b">
        <f>ISNUMBER(SEARCH($F$8,Municipios!G747,1))</f>
        <v>0</v>
      </c>
    </row>
    <row r="746" spans="1:3" x14ac:dyDescent="0.25">
      <c r="A746" s="1" t="b">
        <f>ISNUMBER(SEARCH(Popayan_Cali!$F$7,Municipios!G748,1))</f>
        <v>0</v>
      </c>
      <c r="C746" s="1" t="b">
        <f>ISNUMBER(SEARCH($F$8,Municipios!G748,1))</f>
        <v>0</v>
      </c>
    </row>
    <row r="747" spans="1:3" x14ac:dyDescent="0.25">
      <c r="A747" s="1" t="b">
        <f>ISNUMBER(SEARCH(Popayan_Cali!$F$7,Municipios!G749,1))</f>
        <v>0</v>
      </c>
      <c r="C747" s="1" t="b">
        <f>ISNUMBER(SEARCH($F$8,Municipios!G749,1))</f>
        <v>0</v>
      </c>
    </row>
    <row r="748" spans="1:3" x14ac:dyDescent="0.25">
      <c r="A748" s="1" t="b">
        <f>ISNUMBER(SEARCH(Popayan_Cali!$F$7,Municipios!G750,1))</f>
        <v>0</v>
      </c>
      <c r="C748" s="1" t="b">
        <f>ISNUMBER(SEARCH($F$8,Municipios!G750,1))</f>
        <v>0</v>
      </c>
    </row>
    <row r="749" spans="1:3" x14ac:dyDescent="0.25">
      <c r="A749" s="1" t="b">
        <f>ISNUMBER(SEARCH(Popayan_Cali!$F$7,Municipios!G751,1))</f>
        <v>0</v>
      </c>
      <c r="C749" s="1" t="b">
        <f>ISNUMBER(SEARCH($F$8,Municipios!G751,1))</f>
        <v>0</v>
      </c>
    </row>
    <row r="750" spans="1:3" x14ac:dyDescent="0.25">
      <c r="A750" s="1" t="b">
        <f>ISNUMBER(SEARCH(Popayan_Cali!$F$7,Municipios!G752,1))</f>
        <v>0</v>
      </c>
      <c r="C750" s="1" t="b">
        <f>ISNUMBER(SEARCH($F$8,Municipios!G752,1))</f>
        <v>0</v>
      </c>
    </row>
    <row r="751" spans="1:3" x14ac:dyDescent="0.25">
      <c r="A751" s="1" t="b">
        <f>ISNUMBER(SEARCH(Popayan_Cali!$F$7,Municipios!G753,1))</f>
        <v>0</v>
      </c>
      <c r="C751" s="1" t="b">
        <f>ISNUMBER(SEARCH($F$8,Municipios!G753,1))</f>
        <v>0</v>
      </c>
    </row>
    <row r="752" spans="1:3" x14ac:dyDescent="0.25">
      <c r="A752" s="1" t="b">
        <f>ISNUMBER(SEARCH(Popayan_Cali!$F$7,Municipios!G754,1))</f>
        <v>0</v>
      </c>
      <c r="C752" s="1" t="b">
        <f>ISNUMBER(SEARCH($F$8,Municipios!G754,1))</f>
        <v>0</v>
      </c>
    </row>
    <row r="753" spans="1:3" x14ac:dyDescent="0.25">
      <c r="A753" s="1" t="b">
        <f>ISNUMBER(SEARCH(Popayan_Cali!$F$7,Municipios!G755,1))</f>
        <v>0</v>
      </c>
      <c r="C753" s="1" t="b">
        <f>ISNUMBER(SEARCH($F$8,Municipios!G755,1))</f>
        <v>0</v>
      </c>
    </row>
    <row r="754" spans="1:3" x14ac:dyDescent="0.25">
      <c r="A754" s="1" t="b">
        <f>ISNUMBER(SEARCH(Popayan_Cali!$F$7,Municipios!G756,1))</f>
        <v>0</v>
      </c>
      <c r="C754" s="1" t="b">
        <f>ISNUMBER(SEARCH($F$8,Municipios!G756,1))</f>
        <v>0</v>
      </c>
    </row>
    <row r="755" spans="1:3" x14ac:dyDescent="0.25">
      <c r="A755" s="1" t="b">
        <f>ISNUMBER(SEARCH(Popayan_Cali!$F$7,Municipios!G757,1))</f>
        <v>0</v>
      </c>
      <c r="C755" s="1" t="b">
        <f>ISNUMBER(SEARCH($F$8,Municipios!G757,1))</f>
        <v>0</v>
      </c>
    </row>
    <row r="756" spans="1:3" x14ac:dyDescent="0.25">
      <c r="A756" s="1" t="b">
        <f>ISNUMBER(SEARCH(Popayan_Cali!$F$7,Municipios!G758,1))</f>
        <v>0</v>
      </c>
      <c r="C756" s="1" t="b">
        <f>ISNUMBER(SEARCH($F$8,Municipios!G758,1))</f>
        <v>0</v>
      </c>
    </row>
    <row r="757" spans="1:3" x14ac:dyDescent="0.25">
      <c r="A757" s="1" t="b">
        <f>ISNUMBER(SEARCH(Popayan_Cali!$F$7,Municipios!G759,1))</f>
        <v>0</v>
      </c>
      <c r="C757" s="1" t="b">
        <f>ISNUMBER(SEARCH($F$8,Municipios!G759,1))</f>
        <v>0</v>
      </c>
    </row>
    <row r="758" spans="1:3" x14ac:dyDescent="0.25">
      <c r="A758" s="1" t="b">
        <f>ISNUMBER(SEARCH(Popayan_Cali!$F$7,Municipios!G760,1))</f>
        <v>0</v>
      </c>
      <c r="C758" s="1" t="b">
        <f>ISNUMBER(SEARCH($F$8,Municipios!G760,1))</f>
        <v>0</v>
      </c>
    </row>
    <row r="759" spans="1:3" x14ac:dyDescent="0.25">
      <c r="A759" s="1" t="b">
        <f>ISNUMBER(SEARCH(Popayan_Cali!$F$7,Municipios!G761,1))</f>
        <v>0</v>
      </c>
      <c r="C759" s="1" t="b">
        <f>ISNUMBER(SEARCH($F$8,Municipios!G761,1))</f>
        <v>0</v>
      </c>
    </row>
    <row r="760" spans="1:3" x14ac:dyDescent="0.25">
      <c r="A760" s="1" t="b">
        <f>ISNUMBER(SEARCH(Popayan_Cali!$F$7,Municipios!G762,1))</f>
        <v>0</v>
      </c>
      <c r="C760" s="1" t="b">
        <f>ISNUMBER(SEARCH($F$8,Municipios!G762,1))</f>
        <v>0</v>
      </c>
    </row>
    <row r="761" spans="1:3" x14ac:dyDescent="0.25">
      <c r="A761" s="1" t="b">
        <f>ISNUMBER(SEARCH(Popayan_Cali!$F$7,Municipios!G763,1))</f>
        <v>0</v>
      </c>
      <c r="C761" s="1" t="b">
        <f>ISNUMBER(SEARCH($F$8,Municipios!G763,1))</f>
        <v>0</v>
      </c>
    </row>
    <row r="762" spans="1:3" x14ac:dyDescent="0.25">
      <c r="A762" s="1" t="b">
        <f>ISNUMBER(SEARCH(Popayan_Cali!$F$7,Municipios!G764,1))</f>
        <v>0</v>
      </c>
      <c r="C762" s="1" t="b">
        <f>ISNUMBER(SEARCH($F$8,Municipios!G764,1))</f>
        <v>0</v>
      </c>
    </row>
    <row r="763" spans="1:3" x14ac:dyDescent="0.25">
      <c r="A763" s="1" t="b">
        <f>ISNUMBER(SEARCH(Popayan_Cali!$F$7,Municipios!G765,1))</f>
        <v>0</v>
      </c>
      <c r="C763" s="1" t="b">
        <f>ISNUMBER(SEARCH($F$8,Municipios!G765,1))</f>
        <v>0</v>
      </c>
    </row>
    <row r="764" spans="1:3" x14ac:dyDescent="0.25">
      <c r="A764" s="1" t="b">
        <f>ISNUMBER(SEARCH(Popayan_Cali!$F$7,Municipios!G766,1))</f>
        <v>0</v>
      </c>
      <c r="C764" s="1" t="b">
        <f>ISNUMBER(SEARCH($F$8,Municipios!G766,1))</f>
        <v>0</v>
      </c>
    </row>
    <row r="765" spans="1:3" x14ac:dyDescent="0.25">
      <c r="A765" s="1" t="b">
        <f>ISNUMBER(SEARCH(Popayan_Cali!$F$7,Municipios!G767,1))</f>
        <v>0</v>
      </c>
      <c r="C765" s="1" t="b">
        <f>ISNUMBER(SEARCH($F$8,Municipios!G767,1))</f>
        <v>0</v>
      </c>
    </row>
    <row r="766" spans="1:3" x14ac:dyDescent="0.25">
      <c r="A766" s="1" t="b">
        <f>ISNUMBER(SEARCH(Popayan_Cali!$F$7,Municipios!G768,1))</f>
        <v>0</v>
      </c>
      <c r="C766" s="1" t="b">
        <f>ISNUMBER(SEARCH($F$8,Municipios!G768,1))</f>
        <v>0</v>
      </c>
    </row>
    <row r="767" spans="1:3" x14ac:dyDescent="0.25">
      <c r="A767" s="1" t="b">
        <f>ISNUMBER(SEARCH(Popayan_Cali!$F$7,Municipios!G769,1))</f>
        <v>0</v>
      </c>
      <c r="C767" s="1" t="b">
        <f>ISNUMBER(SEARCH($F$8,Municipios!G769,1))</f>
        <v>0</v>
      </c>
    </row>
    <row r="768" spans="1:3" x14ac:dyDescent="0.25">
      <c r="A768" s="1" t="b">
        <f>ISNUMBER(SEARCH(Popayan_Cali!$F$7,Municipios!G770,1))</f>
        <v>0</v>
      </c>
      <c r="C768" s="1" t="b">
        <f>ISNUMBER(SEARCH($F$8,Municipios!G770,1))</f>
        <v>0</v>
      </c>
    </row>
    <row r="769" spans="1:3" x14ac:dyDescent="0.25">
      <c r="A769" s="1" t="b">
        <f>ISNUMBER(SEARCH(Popayan_Cali!$F$7,Municipios!G771,1))</f>
        <v>0</v>
      </c>
      <c r="C769" s="1" t="b">
        <f>ISNUMBER(SEARCH($F$8,Municipios!G771,1))</f>
        <v>0</v>
      </c>
    </row>
    <row r="770" spans="1:3" x14ac:dyDescent="0.25">
      <c r="A770" s="1" t="b">
        <f>ISNUMBER(SEARCH(Popayan_Cali!$F$7,Municipios!G772,1))</f>
        <v>0</v>
      </c>
      <c r="C770" s="1" t="b">
        <f>ISNUMBER(SEARCH($F$8,Municipios!G772,1))</f>
        <v>0</v>
      </c>
    </row>
    <row r="771" spans="1:3" x14ac:dyDescent="0.25">
      <c r="A771" s="1" t="b">
        <f>ISNUMBER(SEARCH(Popayan_Cali!$F$7,Municipios!G773,1))</f>
        <v>0</v>
      </c>
      <c r="C771" s="1" t="b">
        <f>ISNUMBER(SEARCH($F$8,Municipios!G773,1))</f>
        <v>0</v>
      </c>
    </row>
    <row r="772" spans="1:3" x14ac:dyDescent="0.25">
      <c r="A772" s="1" t="b">
        <f>ISNUMBER(SEARCH(Popayan_Cali!$F$7,Municipios!G774,1))</f>
        <v>0</v>
      </c>
      <c r="C772" s="1" t="b">
        <f>ISNUMBER(SEARCH($F$8,Municipios!G774,1))</f>
        <v>0</v>
      </c>
    </row>
    <row r="773" spans="1:3" x14ac:dyDescent="0.25">
      <c r="A773" s="1" t="b">
        <f>ISNUMBER(SEARCH(Popayan_Cali!$F$7,Municipios!G775,1))</f>
        <v>0</v>
      </c>
      <c r="C773" s="1" t="b">
        <f>ISNUMBER(SEARCH($F$8,Municipios!G775,1))</f>
        <v>0</v>
      </c>
    </row>
    <row r="774" spans="1:3" x14ac:dyDescent="0.25">
      <c r="A774" s="1" t="b">
        <f>ISNUMBER(SEARCH(Popayan_Cali!$F$7,Municipios!G776,1))</f>
        <v>0</v>
      </c>
      <c r="C774" s="1" t="b">
        <f>ISNUMBER(SEARCH($F$8,Municipios!G776,1))</f>
        <v>0</v>
      </c>
    </row>
    <row r="775" spans="1:3" x14ac:dyDescent="0.25">
      <c r="A775" s="1" t="b">
        <f>ISNUMBER(SEARCH(Popayan_Cali!$F$7,Municipios!G777,1))</f>
        <v>0</v>
      </c>
      <c r="C775" s="1" t="b">
        <f>ISNUMBER(SEARCH($F$8,Municipios!G777,1))</f>
        <v>0</v>
      </c>
    </row>
    <row r="776" spans="1:3" x14ac:dyDescent="0.25">
      <c r="A776" s="1" t="b">
        <f>ISNUMBER(SEARCH(Popayan_Cali!$F$7,Municipios!G778,1))</f>
        <v>0</v>
      </c>
      <c r="C776" s="1" t="b">
        <f>ISNUMBER(SEARCH($F$8,Municipios!G778,1))</f>
        <v>0</v>
      </c>
    </row>
    <row r="777" spans="1:3" x14ac:dyDescent="0.25">
      <c r="A777" s="1" t="b">
        <f>ISNUMBER(SEARCH(Popayan_Cali!$F$7,Municipios!G779,1))</f>
        <v>0</v>
      </c>
      <c r="C777" s="1" t="b">
        <f>ISNUMBER(SEARCH($F$8,Municipios!G779,1))</f>
        <v>0</v>
      </c>
    </row>
    <row r="778" spans="1:3" x14ac:dyDescent="0.25">
      <c r="A778" s="1" t="b">
        <f>ISNUMBER(SEARCH(Popayan_Cali!$F$7,Municipios!G780,1))</f>
        <v>0</v>
      </c>
      <c r="C778" s="1" t="b">
        <f>ISNUMBER(SEARCH($F$8,Municipios!G780,1))</f>
        <v>0</v>
      </c>
    </row>
    <row r="779" spans="1:3" x14ac:dyDescent="0.25">
      <c r="A779" s="1" t="b">
        <f>ISNUMBER(SEARCH(Popayan_Cali!$F$7,Municipios!G781,1))</f>
        <v>0</v>
      </c>
      <c r="C779" s="1" t="b">
        <f>ISNUMBER(SEARCH($F$8,Municipios!G781,1))</f>
        <v>0</v>
      </c>
    </row>
    <row r="780" spans="1:3" x14ac:dyDescent="0.25">
      <c r="A780" s="1" t="b">
        <f>ISNUMBER(SEARCH(Popayan_Cali!$F$7,Municipios!G782,1))</f>
        <v>0</v>
      </c>
      <c r="C780" s="1" t="b">
        <f>ISNUMBER(SEARCH($F$8,Municipios!G782,1))</f>
        <v>0</v>
      </c>
    </row>
    <row r="781" spans="1:3" x14ac:dyDescent="0.25">
      <c r="A781" s="1" t="b">
        <f>ISNUMBER(SEARCH(Popayan_Cali!$F$7,Municipios!G783,1))</f>
        <v>0</v>
      </c>
      <c r="C781" s="1" t="b">
        <f>ISNUMBER(SEARCH($F$8,Municipios!G783,1))</f>
        <v>0</v>
      </c>
    </row>
    <row r="782" spans="1:3" x14ac:dyDescent="0.25">
      <c r="A782" s="1" t="b">
        <f>ISNUMBER(SEARCH(Popayan_Cali!$F$7,Municipios!G784,1))</f>
        <v>0</v>
      </c>
      <c r="C782" s="1" t="b">
        <f>ISNUMBER(SEARCH($F$8,Municipios!G784,1))</f>
        <v>0</v>
      </c>
    </row>
    <row r="783" spans="1:3" x14ac:dyDescent="0.25">
      <c r="A783" s="1" t="b">
        <f>ISNUMBER(SEARCH(Popayan_Cali!$F$7,Municipios!G785,1))</f>
        <v>0</v>
      </c>
      <c r="C783" s="1" t="b">
        <f>ISNUMBER(SEARCH($F$8,Municipios!G785,1))</f>
        <v>0</v>
      </c>
    </row>
    <row r="784" spans="1:3" x14ac:dyDescent="0.25">
      <c r="A784" s="1" t="b">
        <f>ISNUMBER(SEARCH(Popayan_Cali!$F$7,Municipios!G786,1))</f>
        <v>0</v>
      </c>
      <c r="C784" s="1" t="b">
        <f>ISNUMBER(SEARCH($F$8,Municipios!G786,1))</f>
        <v>0</v>
      </c>
    </row>
    <row r="785" spans="1:3" x14ac:dyDescent="0.25">
      <c r="A785" s="1" t="b">
        <f>ISNUMBER(SEARCH(Popayan_Cali!$F$7,Municipios!G787,1))</f>
        <v>0</v>
      </c>
      <c r="C785" s="1" t="b">
        <f>ISNUMBER(SEARCH($F$8,Municipios!G787,1))</f>
        <v>0</v>
      </c>
    </row>
    <row r="786" spans="1:3" x14ac:dyDescent="0.25">
      <c r="A786" s="1" t="b">
        <f>ISNUMBER(SEARCH(Popayan_Cali!$F$7,Municipios!G788,1))</f>
        <v>0</v>
      </c>
      <c r="C786" s="1" t="b">
        <f>ISNUMBER(SEARCH($F$8,Municipios!G788,1))</f>
        <v>0</v>
      </c>
    </row>
    <row r="787" spans="1:3" x14ac:dyDescent="0.25">
      <c r="A787" s="1" t="b">
        <f>ISNUMBER(SEARCH(Popayan_Cali!$F$7,Municipios!G789,1))</f>
        <v>0</v>
      </c>
      <c r="C787" s="1" t="b">
        <f>ISNUMBER(SEARCH($F$8,Municipios!G789,1))</f>
        <v>0</v>
      </c>
    </row>
    <row r="788" spans="1:3" x14ac:dyDescent="0.25">
      <c r="A788" s="1" t="b">
        <f>ISNUMBER(SEARCH(Popayan_Cali!$F$7,Municipios!G790,1))</f>
        <v>0</v>
      </c>
      <c r="C788" s="1" t="b">
        <f>ISNUMBER(SEARCH($F$8,Municipios!G790,1))</f>
        <v>0</v>
      </c>
    </row>
    <row r="789" spans="1:3" x14ac:dyDescent="0.25">
      <c r="A789" s="1" t="b">
        <f>ISNUMBER(SEARCH(Popayan_Cali!$F$7,Municipios!G791,1))</f>
        <v>0</v>
      </c>
      <c r="C789" s="1" t="b">
        <f>ISNUMBER(SEARCH($F$8,Municipios!G791,1))</f>
        <v>0</v>
      </c>
    </row>
    <row r="790" spans="1:3" x14ac:dyDescent="0.25">
      <c r="A790" s="1" t="b">
        <f>ISNUMBER(SEARCH(Popayan_Cali!$F$7,Municipios!G792,1))</f>
        <v>0</v>
      </c>
      <c r="C790" s="1" t="b">
        <f>ISNUMBER(SEARCH($F$8,Municipios!G792,1))</f>
        <v>0</v>
      </c>
    </row>
    <row r="791" spans="1:3" x14ac:dyDescent="0.25">
      <c r="A791" s="1" t="b">
        <f>ISNUMBER(SEARCH(Popayan_Cali!$F$7,Municipios!G793,1))</f>
        <v>0</v>
      </c>
      <c r="C791" s="1" t="b">
        <f>ISNUMBER(SEARCH($F$8,Municipios!G793,1))</f>
        <v>0</v>
      </c>
    </row>
    <row r="792" spans="1:3" x14ac:dyDescent="0.25">
      <c r="A792" s="1" t="b">
        <f>ISNUMBER(SEARCH(Popayan_Cali!$F$7,Municipios!G794,1))</f>
        <v>0</v>
      </c>
      <c r="C792" s="1" t="b">
        <f>ISNUMBER(SEARCH($F$8,Municipios!G794,1))</f>
        <v>0</v>
      </c>
    </row>
    <row r="793" spans="1:3" x14ac:dyDescent="0.25">
      <c r="A793" s="1" t="b">
        <f>ISNUMBER(SEARCH(Popayan_Cali!$F$7,Municipios!G795,1))</f>
        <v>0</v>
      </c>
      <c r="C793" s="1" t="b">
        <f>ISNUMBER(SEARCH($F$8,Municipios!G795,1))</f>
        <v>0</v>
      </c>
    </row>
    <row r="794" spans="1:3" x14ac:dyDescent="0.25">
      <c r="A794" s="1" t="b">
        <f>ISNUMBER(SEARCH(Popayan_Cali!$F$7,Municipios!G796,1))</f>
        <v>0</v>
      </c>
      <c r="C794" s="1" t="b">
        <f>ISNUMBER(SEARCH($F$8,Municipios!G796,1))</f>
        <v>0</v>
      </c>
    </row>
    <row r="795" spans="1:3" x14ac:dyDescent="0.25">
      <c r="A795" s="1" t="b">
        <f>ISNUMBER(SEARCH(Popayan_Cali!$F$7,Municipios!G797,1))</f>
        <v>0</v>
      </c>
      <c r="C795" s="1" t="b">
        <f>ISNUMBER(SEARCH($F$8,Municipios!G797,1))</f>
        <v>0</v>
      </c>
    </row>
    <row r="796" spans="1:3" x14ac:dyDescent="0.25">
      <c r="A796" s="1" t="b">
        <f>ISNUMBER(SEARCH(Popayan_Cali!$F$7,Municipios!G798,1))</f>
        <v>0</v>
      </c>
      <c r="C796" s="1" t="b">
        <f>ISNUMBER(SEARCH($F$8,Municipios!G798,1))</f>
        <v>0</v>
      </c>
    </row>
    <row r="797" spans="1:3" x14ac:dyDescent="0.25">
      <c r="A797" s="1" t="b">
        <f>ISNUMBER(SEARCH(Popayan_Cali!$F$7,Municipios!G799,1))</f>
        <v>0</v>
      </c>
      <c r="C797" s="1" t="b">
        <f>ISNUMBER(SEARCH($F$8,Municipios!G799,1))</f>
        <v>0</v>
      </c>
    </row>
    <row r="798" spans="1:3" x14ac:dyDescent="0.25">
      <c r="A798" s="1" t="b">
        <f>ISNUMBER(SEARCH(Popayan_Cali!$F$7,Municipios!G800,1))</f>
        <v>0</v>
      </c>
      <c r="C798" s="1" t="b">
        <f>ISNUMBER(SEARCH($F$8,Municipios!G800,1))</f>
        <v>0</v>
      </c>
    </row>
    <row r="799" spans="1:3" x14ac:dyDescent="0.25">
      <c r="A799" s="1" t="b">
        <f>ISNUMBER(SEARCH(Popayan_Cali!$F$7,Municipios!G801,1))</f>
        <v>0</v>
      </c>
      <c r="C799" s="1" t="b">
        <f>ISNUMBER(SEARCH($F$8,Municipios!G801,1))</f>
        <v>0</v>
      </c>
    </row>
    <row r="800" spans="1:3" x14ac:dyDescent="0.25">
      <c r="A800" s="1" t="b">
        <f>ISNUMBER(SEARCH(Popayan_Cali!$F$7,Municipios!G802,1))</f>
        <v>0</v>
      </c>
      <c r="C800" s="1" t="b">
        <f>ISNUMBER(SEARCH($F$8,Municipios!G802,1))</f>
        <v>0</v>
      </c>
    </row>
    <row r="801" spans="1:3" x14ac:dyDescent="0.25">
      <c r="A801" s="1" t="b">
        <f>ISNUMBER(SEARCH(Popayan_Cali!$F$7,Municipios!G803,1))</f>
        <v>0</v>
      </c>
      <c r="C801" s="1" t="b">
        <f>ISNUMBER(SEARCH($F$8,Municipios!G803,1))</f>
        <v>0</v>
      </c>
    </row>
    <row r="802" spans="1:3" x14ac:dyDescent="0.25">
      <c r="A802" s="1" t="b">
        <f>ISNUMBER(SEARCH(Popayan_Cali!$F$7,Municipios!G804,1))</f>
        <v>0</v>
      </c>
      <c r="C802" s="1" t="b">
        <f>ISNUMBER(SEARCH($F$8,Municipios!G804,1))</f>
        <v>0</v>
      </c>
    </row>
    <row r="803" spans="1:3" x14ac:dyDescent="0.25">
      <c r="A803" s="1" t="b">
        <f>ISNUMBER(SEARCH(Popayan_Cali!$F$7,Municipios!G805,1))</f>
        <v>0</v>
      </c>
      <c r="C803" s="1" t="b">
        <f>ISNUMBER(SEARCH($F$8,Municipios!G805,1))</f>
        <v>0</v>
      </c>
    </row>
    <row r="804" spans="1:3" x14ac:dyDescent="0.25">
      <c r="A804" s="1" t="b">
        <f>ISNUMBER(SEARCH(Popayan_Cali!$F$7,Municipios!G806,1))</f>
        <v>0</v>
      </c>
      <c r="C804" s="1" t="b">
        <f>ISNUMBER(SEARCH($F$8,Municipios!G806,1))</f>
        <v>0</v>
      </c>
    </row>
    <row r="805" spans="1:3" x14ac:dyDescent="0.25">
      <c r="A805" s="1" t="b">
        <f>ISNUMBER(SEARCH(Popayan_Cali!$F$7,Municipios!G807,1))</f>
        <v>0</v>
      </c>
      <c r="C805" s="1" t="b">
        <f>ISNUMBER(SEARCH($F$8,Municipios!G807,1))</f>
        <v>0</v>
      </c>
    </row>
    <row r="806" spans="1:3" x14ac:dyDescent="0.25">
      <c r="A806" s="1" t="b">
        <f>ISNUMBER(SEARCH(Popayan_Cali!$F$7,Municipios!G808,1))</f>
        <v>0</v>
      </c>
      <c r="C806" s="1" t="b">
        <f>ISNUMBER(SEARCH($F$8,Municipios!G808,1))</f>
        <v>0</v>
      </c>
    </row>
    <row r="807" spans="1:3" x14ac:dyDescent="0.25">
      <c r="A807" s="1" t="b">
        <f>ISNUMBER(SEARCH(Popayan_Cali!$F$7,Municipios!G809,1))</f>
        <v>0</v>
      </c>
      <c r="C807" s="1" t="b">
        <f>ISNUMBER(SEARCH($F$8,Municipios!G809,1))</f>
        <v>0</v>
      </c>
    </row>
    <row r="808" spans="1:3" x14ac:dyDescent="0.25">
      <c r="A808" s="1" t="b">
        <f>ISNUMBER(SEARCH(Popayan_Cali!$F$7,Municipios!G810,1))</f>
        <v>0</v>
      </c>
      <c r="C808" s="1" t="b">
        <f>ISNUMBER(SEARCH($F$8,Municipios!G810,1))</f>
        <v>0</v>
      </c>
    </row>
    <row r="809" spans="1:3" x14ac:dyDescent="0.25">
      <c r="A809" s="1" t="b">
        <f>ISNUMBER(SEARCH(Popayan_Cali!$F$7,Municipios!G811,1))</f>
        <v>0</v>
      </c>
      <c r="C809" s="1" t="b">
        <f>ISNUMBER(SEARCH($F$8,Municipios!G811,1))</f>
        <v>0</v>
      </c>
    </row>
    <row r="810" spans="1:3" x14ac:dyDescent="0.25">
      <c r="A810" s="1" t="b">
        <f>ISNUMBER(SEARCH(Popayan_Cali!$F$7,Municipios!G812,1))</f>
        <v>0</v>
      </c>
      <c r="C810" s="1" t="b">
        <f>ISNUMBER(SEARCH($F$8,Municipios!G812,1))</f>
        <v>0</v>
      </c>
    </row>
    <row r="811" spans="1:3" x14ac:dyDescent="0.25">
      <c r="A811" s="1" t="b">
        <f>ISNUMBER(SEARCH(Popayan_Cali!$F$7,Municipios!G813,1))</f>
        <v>0</v>
      </c>
      <c r="C811" s="1" t="b">
        <f>ISNUMBER(SEARCH($F$8,Municipios!G813,1))</f>
        <v>0</v>
      </c>
    </row>
    <row r="812" spans="1:3" x14ac:dyDescent="0.25">
      <c r="A812" s="1" t="b">
        <f>ISNUMBER(SEARCH(Popayan_Cali!$F$7,Municipios!G814,1))</f>
        <v>0</v>
      </c>
      <c r="C812" s="1" t="b">
        <f>ISNUMBER(SEARCH($F$8,Municipios!G814,1))</f>
        <v>0</v>
      </c>
    </row>
    <row r="813" spans="1:3" x14ac:dyDescent="0.25">
      <c r="A813" s="1" t="b">
        <f>ISNUMBER(SEARCH(Popayan_Cali!$F$7,Municipios!G815,1))</f>
        <v>0</v>
      </c>
      <c r="C813" s="1" t="b">
        <f>ISNUMBER(SEARCH($F$8,Municipios!G815,1))</f>
        <v>0</v>
      </c>
    </row>
    <row r="814" spans="1:3" x14ac:dyDescent="0.25">
      <c r="A814" s="1" t="b">
        <f>ISNUMBER(SEARCH(Popayan_Cali!$F$7,Municipios!G816,1))</f>
        <v>0</v>
      </c>
      <c r="C814" s="1" t="b">
        <f>ISNUMBER(SEARCH($F$8,Municipios!G816,1))</f>
        <v>0</v>
      </c>
    </row>
    <row r="815" spans="1:3" x14ac:dyDescent="0.25">
      <c r="A815" s="1" t="b">
        <f>ISNUMBER(SEARCH(Popayan_Cali!$F$7,Municipios!G817,1))</f>
        <v>0</v>
      </c>
      <c r="C815" s="1" t="b">
        <f>ISNUMBER(SEARCH($F$8,Municipios!G817,1))</f>
        <v>0</v>
      </c>
    </row>
    <row r="816" spans="1:3" x14ac:dyDescent="0.25">
      <c r="A816" s="1" t="b">
        <f>ISNUMBER(SEARCH(Popayan_Cali!$F$7,Municipios!G818,1))</f>
        <v>0</v>
      </c>
      <c r="C816" s="1" t="b">
        <f>ISNUMBER(SEARCH($F$8,Municipios!G818,1))</f>
        <v>0</v>
      </c>
    </row>
    <row r="817" spans="1:3" x14ac:dyDescent="0.25">
      <c r="A817" s="1" t="b">
        <f>ISNUMBER(SEARCH(Popayan_Cali!$F$7,Municipios!G819,1))</f>
        <v>0</v>
      </c>
      <c r="C817" s="1" t="b">
        <f>ISNUMBER(SEARCH($F$8,Municipios!G819,1))</f>
        <v>0</v>
      </c>
    </row>
    <row r="818" spans="1:3" x14ac:dyDescent="0.25">
      <c r="A818" s="1" t="b">
        <f>ISNUMBER(SEARCH(Popayan_Cali!$F$7,Municipios!G820,1))</f>
        <v>0</v>
      </c>
      <c r="C818" s="1" t="b">
        <f>ISNUMBER(SEARCH($F$8,Municipios!G820,1))</f>
        <v>0</v>
      </c>
    </row>
    <row r="819" spans="1:3" x14ac:dyDescent="0.25">
      <c r="A819" s="1" t="b">
        <f>ISNUMBER(SEARCH(Popayan_Cali!$F$7,Municipios!G821,1))</f>
        <v>0</v>
      </c>
      <c r="C819" s="1" t="b">
        <f>ISNUMBER(SEARCH($F$8,Municipios!G821,1))</f>
        <v>0</v>
      </c>
    </row>
    <row r="820" spans="1:3" x14ac:dyDescent="0.25">
      <c r="A820" s="1" t="b">
        <f>ISNUMBER(SEARCH(Popayan_Cali!$F$7,Municipios!G822,1))</f>
        <v>0</v>
      </c>
      <c r="C820" s="1" t="b">
        <f>ISNUMBER(SEARCH($F$8,Municipios!G822,1))</f>
        <v>0</v>
      </c>
    </row>
    <row r="821" spans="1:3" x14ac:dyDescent="0.25">
      <c r="A821" s="1" t="b">
        <f>ISNUMBER(SEARCH(Popayan_Cali!$F$7,Municipios!G823,1))</f>
        <v>0</v>
      </c>
      <c r="C821" s="1" t="b">
        <f>ISNUMBER(SEARCH($F$8,Municipios!G823,1))</f>
        <v>0</v>
      </c>
    </row>
    <row r="822" spans="1:3" x14ac:dyDescent="0.25">
      <c r="A822" s="1" t="b">
        <f>ISNUMBER(SEARCH(Popayan_Cali!$F$7,Municipios!G824,1))</f>
        <v>0</v>
      </c>
      <c r="C822" s="1" t="b">
        <f>ISNUMBER(SEARCH($F$8,Municipios!G824,1))</f>
        <v>0</v>
      </c>
    </row>
    <row r="823" spans="1:3" x14ac:dyDescent="0.25">
      <c r="A823" s="1" t="b">
        <f>ISNUMBER(SEARCH(Popayan_Cali!$F$7,Municipios!G825,1))</f>
        <v>0</v>
      </c>
      <c r="C823" s="1" t="b">
        <f>ISNUMBER(SEARCH($F$8,Municipios!G825,1))</f>
        <v>0</v>
      </c>
    </row>
    <row r="824" spans="1:3" x14ac:dyDescent="0.25">
      <c r="A824" s="1" t="b">
        <f>ISNUMBER(SEARCH(Popayan_Cali!$F$7,Municipios!G826,1))</f>
        <v>0</v>
      </c>
      <c r="C824" s="1" t="b">
        <f>ISNUMBER(SEARCH($F$8,Municipios!G826,1))</f>
        <v>0</v>
      </c>
    </row>
    <row r="825" spans="1:3" x14ac:dyDescent="0.25">
      <c r="A825" s="1" t="b">
        <f>ISNUMBER(SEARCH(Popayan_Cali!$F$7,Municipios!G827,1))</f>
        <v>0</v>
      </c>
      <c r="C825" s="1" t="b">
        <f>ISNUMBER(SEARCH($F$8,Municipios!G827,1))</f>
        <v>0</v>
      </c>
    </row>
    <row r="826" spans="1:3" x14ac:dyDescent="0.25">
      <c r="A826" s="1" t="b">
        <f>ISNUMBER(SEARCH(Popayan_Cali!$F$7,Municipios!G828,1))</f>
        <v>0</v>
      </c>
      <c r="C826" s="1" t="b">
        <f>ISNUMBER(SEARCH($F$8,Municipios!G828,1))</f>
        <v>0</v>
      </c>
    </row>
    <row r="827" spans="1:3" x14ac:dyDescent="0.25">
      <c r="A827" s="1" t="b">
        <f>ISNUMBER(SEARCH(Popayan_Cali!$F$7,Municipios!G829,1))</f>
        <v>0</v>
      </c>
      <c r="C827" s="1" t="b">
        <f>ISNUMBER(SEARCH($F$8,Municipios!G829,1))</f>
        <v>0</v>
      </c>
    </row>
    <row r="828" spans="1:3" x14ac:dyDescent="0.25">
      <c r="A828" s="1" t="b">
        <f>ISNUMBER(SEARCH(Popayan_Cali!$F$7,Municipios!G830,1))</f>
        <v>0</v>
      </c>
      <c r="C828" s="1" t="b">
        <f>ISNUMBER(SEARCH($F$8,Municipios!G830,1))</f>
        <v>0</v>
      </c>
    </row>
    <row r="829" spans="1:3" x14ac:dyDescent="0.25">
      <c r="A829" s="1" t="b">
        <f>ISNUMBER(SEARCH(Popayan_Cali!$F$7,Municipios!G831,1))</f>
        <v>0</v>
      </c>
      <c r="C829" s="1" t="b">
        <f>ISNUMBER(SEARCH($F$8,Municipios!G831,1))</f>
        <v>0</v>
      </c>
    </row>
    <row r="830" spans="1:3" x14ac:dyDescent="0.25">
      <c r="A830" s="1" t="b">
        <f>ISNUMBER(SEARCH(Popayan_Cali!$F$7,Municipios!G832,1))</f>
        <v>0</v>
      </c>
      <c r="C830" s="1" t="b">
        <f>ISNUMBER(SEARCH($F$8,Municipios!G832,1))</f>
        <v>0</v>
      </c>
    </row>
    <row r="831" spans="1:3" x14ac:dyDescent="0.25">
      <c r="A831" s="1" t="b">
        <f>ISNUMBER(SEARCH(Popayan_Cali!$F$7,Municipios!G833,1))</f>
        <v>0</v>
      </c>
      <c r="C831" s="1" t="b">
        <f>ISNUMBER(SEARCH($F$8,Municipios!G833,1))</f>
        <v>0</v>
      </c>
    </row>
    <row r="832" spans="1:3" x14ac:dyDescent="0.25">
      <c r="A832" s="1" t="b">
        <f>ISNUMBER(SEARCH(Popayan_Cali!$F$7,Municipios!G834,1))</f>
        <v>0</v>
      </c>
      <c r="C832" s="1" t="b">
        <f>ISNUMBER(SEARCH($F$8,Municipios!G834,1))</f>
        <v>0</v>
      </c>
    </row>
    <row r="833" spans="1:3" x14ac:dyDescent="0.25">
      <c r="A833" s="1" t="b">
        <f>ISNUMBER(SEARCH(Popayan_Cali!$F$7,Municipios!G835,1))</f>
        <v>0</v>
      </c>
      <c r="C833" s="1" t="b">
        <f>ISNUMBER(SEARCH($F$8,Municipios!G835,1))</f>
        <v>0</v>
      </c>
    </row>
    <row r="834" spans="1:3" x14ac:dyDescent="0.25">
      <c r="A834" s="1" t="b">
        <f>ISNUMBER(SEARCH(Popayan_Cali!$F$7,Municipios!G836,1))</f>
        <v>0</v>
      </c>
      <c r="C834" s="1" t="b">
        <f>ISNUMBER(SEARCH($F$8,Municipios!G836,1))</f>
        <v>0</v>
      </c>
    </row>
    <row r="835" spans="1:3" x14ac:dyDescent="0.25">
      <c r="A835" s="1" t="b">
        <f>ISNUMBER(SEARCH(Popayan_Cali!$F$7,Municipios!G837,1))</f>
        <v>0</v>
      </c>
      <c r="C835" s="1" t="b">
        <f>ISNUMBER(SEARCH($F$8,Municipios!G837,1))</f>
        <v>0</v>
      </c>
    </row>
    <row r="836" spans="1:3" x14ac:dyDescent="0.25">
      <c r="A836" s="1" t="b">
        <f>ISNUMBER(SEARCH(Popayan_Cali!$F$7,Municipios!G838,1))</f>
        <v>0</v>
      </c>
      <c r="C836" s="1" t="b">
        <f>ISNUMBER(SEARCH($F$8,Municipios!G838,1))</f>
        <v>0</v>
      </c>
    </row>
    <row r="837" spans="1:3" x14ac:dyDescent="0.25">
      <c r="A837" s="1" t="b">
        <f>ISNUMBER(SEARCH(Popayan_Cali!$F$7,Municipios!G839,1))</f>
        <v>0</v>
      </c>
      <c r="C837" s="1" t="b">
        <f>ISNUMBER(SEARCH($F$8,Municipios!G839,1))</f>
        <v>0</v>
      </c>
    </row>
    <row r="838" spans="1:3" x14ac:dyDescent="0.25">
      <c r="A838" s="1" t="b">
        <f>ISNUMBER(SEARCH(Popayan_Cali!$F$7,Municipios!G840,1))</f>
        <v>0</v>
      </c>
      <c r="C838" s="1" t="b">
        <f>ISNUMBER(SEARCH($F$8,Municipios!G840,1))</f>
        <v>0</v>
      </c>
    </row>
    <row r="839" spans="1:3" x14ac:dyDescent="0.25">
      <c r="A839" s="1" t="b">
        <f>ISNUMBER(SEARCH(Popayan_Cali!$F$7,Municipios!G841,1))</f>
        <v>0</v>
      </c>
      <c r="C839" s="1" t="b">
        <f>ISNUMBER(SEARCH($F$8,Municipios!G841,1))</f>
        <v>0</v>
      </c>
    </row>
    <row r="840" spans="1:3" x14ac:dyDescent="0.25">
      <c r="A840" s="1" t="b">
        <f>ISNUMBER(SEARCH(Popayan_Cali!$F$7,Municipios!G842,1))</f>
        <v>0</v>
      </c>
      <c r="C840" s="1" t="b">
        <f>ISNUMBER(SEARCH($F$8,Municipios!G842,1))</f>
        <v>0</v>
      </c>
    </row>
    <row r="841" spans="1:3" x14ac:dyDescent="0.25">
      <c r="A841" s="1" t="b">
        <f>ISNUMBER(SEARCH(Popayan_Cali!$F$7,Municipios!G843,1))</f>
        <v>0</v>
      </c>
      <c r="C841" s="1" t="b">
        <f>ISNUMBER(SEARCH($F$8,Municipios!G843,1))</f>
        <v>0</v>
      </c>
    </row>
    <row r="842" spans="1:3" x14ac:dyDescent="0.25">
      <c r="A842" s="1" t="b">
        <f>ISNUMBER(SEARCH(Popayan_Cali!$F$7,Municipios!G844,1))</f>
        <v>0</v>
      </c>
      <c r="C842" s="1" t="b">
        <f>ISNUMBER(SEARCH($F$8,Municipios!G844,1))</f>
        <v>0</v>
      </c>
    </row>
    <row r="843" spans="1:3" x14ac:dyDescent="0.25">
      <c r="A843" s="1" t="b">
        <f>ISNUMBER(SEARCH(Popayan_Cali!$F$7,Municipios!G845,1))</f>
        <v>0</v>
      </c>
      <c r="C843" s="1" t="b">
        <f>ISNUMBER(SEARCH($F$8,Municipios!G845,1))</f>
        <v>0</v>
      </c>
    </row>
    <row r="844" spans="1:3" x14ac:dyDescent="0.25">
      <c r="A844" s="1" t="b">
        <f>ISNUMBER(SEARCH(Popayan_Cali!$F$7,Municipios!G846,1))</f>
        <v>0</v>
      </c>
      <c r="C844" s="1" t="b">
        <f>ISNUMBER(SEARCH($F$8,Municipios!G846,1))</f>
        <v>0</v>
      </c>
    </row>
    <row r="845" spans="1:3" x14ac:dyDescent="0.25">
      <c r="A845" s="1" t="b">
        <f>ISNUMBER(SEARCH(Popayan_Cali!$F$7,Municipios!G847,1))</f>
        <v>0</v>
      </c>
      <c r="C845" s="1" t="b">
        <f>ISNUMBER(SEARCH($F$8,Municipios!G847,1))</f>
        <v>0</v>
      </c>
    </row>
    <row r="846" spans="1:3" x14ac:dyDescent="0.25">
      <c r="A846" s="1" t="b">
        <f>ISNUMBER(SEARCH(Popayan_Cali!$F$7,Municipios!G848,1))</f>
        <v>0</v>
      </c>
      <c r="C846" s="1" t="b">
        <f>ISNUMBER(SEARCH($F$8,Municipios!G848,1))</f>
        <v>0</v>
      </c>
    </row>
    <row r="847" spans="1:3" x14ac:dyDescent="0.25">
      <c r="A847" s="1" t="b">
        <f>ISNUMBER(SEARCH(Popayan_Cali!$F$7,Municipios!G849,1))</f>
        <v>0</v>
      </c>
      <c r="C847" s="1" t="b">
        <f>ISNUMBER(SEARCH($F$8,Municipios!G849,1))</f>
        <v>0</v>
      </c>
    </row>
    <row r="848" spans="1:3" x14ac:dyDescent="0.25">
      <c r="A848" s="1" t="b">
        <f>ISNUMBER(SEARCH(Popayan_Cali!$F$7,Municipios!G850,1))</f>
        <v>0</v>
      </c>
      <c r="C848" s="1" t="b">
        <f>ISNUMBER(SEARCH($F$8,Municipios!G850,1))</f>
        <v>0</v>
      </c>
    </row>
    <row r="849" spans="1:3" x14ac:dyDescent="0.25">
      <c r="A849" s="1" t="b">
        <f>ISNUMBER(SEARCH(Popayan_Cali!$F$7,Municipios!G851,1))</f>
        <v>0</v>
      </c>
      <c r="C849" s="1" t="b">
        <f>ISNUMBER(SEARCH($F$8,Municipios!G851,1))</f>
        <v>0</v>
      </c>
    </row>
    <row r="850" spans="1:3" x14ac:dyDescent="0.25">
      <c r="A850" s="1" t="b">
        <f>ISNUMBER(SEARCH(Popayan_Cali!$F$7,Municipios!G852,1))</f>
        <v>0</v>
      </c>
      <c r="C850" s="1" t="b">
        <f>ISNUMBER(SEARCH($F$8,Municipios!G852,1))</f>
        <v>0</v>
      </c>
    </row>
    <row r="851" spans="1:3" x14ac:dyDescent="0.25">
      <c r="A851" s="1" t="b">
        <f>ISNUMBER(SEARCH(Popayan_Cali!$F$7,Municipios!G853,1))</f>
        <v>0</v>
      </c>
      <c r="C851" s="1" t="b">
        <f>ISNUMBER(SEARCH($F$8,Municipios!G853,1))</f>
        <v>0</v>
      </c>
    </row>
    <row r="852" spans="1:3" x14ac:dyDescent="0.25">
      <c r="A852" s="1" t="b">
        <f>ISNUMBER(SEARCH(Popayan_Cali!$F$7,Municipios!G854,1))</f>
        <v>0</v>
      </c>
      <c r="C852" s="1" t="b">
        <f>ISNUMBER(SEARCH($F$8,Municipios!G854,1))</f>
        <v>0</v>
      </c>
    </row>
    <row r="853" spans="1:3" x14ac:dyDescent="0.25">
      <c r="A853" s="1" t="b">
        <f>ISNUMBER(SEARCH(Popayan_Cali!$F$7,Municipios!G855,1))</f>
        <v>0</v>
      </c>
      <c r="C853" s="1" t="b">
        <f>ISNUMBER(SEARCH($F$8,Municipios!G855,1))</f>
        <v>0</v>
      </c>
    </row>
    <row r="854" spans="1:3" x14ac:dyDescent="0.25">
      <c r="A854" s="1" t="b">
        <f>ISNUMBER(SEARCH(Popayan_Cali!$F$7,Municipios!G856,1))</f>
        <v>0</v>
      </c>
      <c r="C854" s="1" t="b">
        <f>ISNUMBER(SEARCH($F$8,Municipios!G856,1))</f>
        <v>0</v>
      </c>
    </row>
    <row r="855" spans="1:3" x14ac:dyDescent="0.25">
      <c r="A855" s="1" t="b">
        <f>ISNUMBER(SEARCH(Popayan_Cali!$F$7,Municipios!G857,1))</f>
        <v>0</v>
      </c>
      <c r="C855" s="1" t="b">
        <f>ISNUMBER(SEARCH($F$8,Municipios!G857,1))</f>
        <v>0</v>
      </c>
    </row>
    <row r="856" spans="1:3" x14ac:dyDescent="0.25">
      <c r="A856" s="1" t="b">
        <f>ISNUMBER(SEARCH(Popayan_Cali!$F$7,Municipios!G858,1))</f>
        <v>0</v>
      </c>
      <c r="C856" s="1" t="b">
        <f>ISNUMBER(SEARCH($F$8,Municipios!G858,1))</f>
        <v>0</v>
      </c>
    </row>
    <row r="857" spans="1:3" x14ac:dyDescent="0.25">
      <c r="A857" s="1" t="b">
        <f>ISNUMBER(SEARCH(Popayan_Cali!$F$7,Municipios!G859,1))</f>
        <v>0</v>
      </c>
      <c r="C857" s="1" t="b">
        <f>ISNUMBER(SEARCH($F$8,Municipios!G859,1))</f>
        <v>0</v>
      </c>
    </row>
    <row r="858" spans="1:3" x14ac:dyDescent="0.25">
      <c r="A858" s="1" t="b">
        <f>ISNUMBER(SEARCH(Popayan_Cali!$F$7,Municipios!G860,1))</f>
        <v>0</v>
      </c>
      <c r="C858" s="1" t="b">
        <f>ISNUMBER(SEARCH($F$8,Municipios!G860,1))</f>
        <v>0</v>
      </c>
    </row>
    <row r="859" spans="1:3" x14ac:dyDescent="0.25">
      <c r="A859" s="1" t="b">
        <f>ISNUMBER(SEARCH(Popayan_Cali!$F$7,Municipios!G861,1))</f>
        <v>0</v>
      </c>
      <c r="C859" s="1" t="b">
        <f>ISNUMBER(SEARCH($F$8,Municipios!G861,1))</f>
        <v>0</v>
      </c>
    </row>
    <row r="860" spans="1:3" x14ac:dyDescent="0.25">
      <c r="A860" s="1" t="b">
        <f>ISNUMBER(SEARCH(Popayan_Cali!$F$7,Municipios!G862,1))</f>
        <v>0</v>
      </c>
      <c r="C860" s="1" t="b">
        <f>ISNUMBER(SEARCH($F$8,Municipios!G862,1))</f>
        <v>0</v>
      </c>
    </row>
    <row r="861" spans="1:3" x14ac:dyDescent="0.25">
      <c r="A861" s="1" t="b">
        <f>ISNUMBER(SEARCH(Popayan_Cali!$F$7,Municipios!G863,1))</f>
        <v>0</v>
      </c>
      <c r="C861" s="1" t="b">
        <f>ISNUMBER(SEARCH($F$8,Municipios!G863,1))</f>
        <v>0</v>
      </c>
    </row>
    <row r="862" spans="1:3" x14ac:dyDescent="0.25">
      <c r="A862" s="1" t="b">
        <f>ISNUMBER(SEARCH(Popayan_Cali!$F$7,Municipios!G864,1))</f>
        <v>0</v>
      </c>
      <c r="C862" s="1" t="b">
        <f>ISNUMBER(SEARCH($F$8,Municipios!G864,1))</f>
        <v>0</v>
      </c>
    </row>
    <row r="863" spans="1:3" x14ac:dyDescent="0.25">
      <c r="A863" s="1" t="b">
        <f>ISNUMBER(SEARCH(Popayan_Cali!$F$7,Municipios!G865,1))</f>
        <v>0</v>
      </c>
      <c r="C863" s="1" t="b">
        <f>ISNUMBER(SEARCH($F$8,Municipios!G865,1))</f>
        <v>0</v>
      </c>
    </row>
    <row r="864" spans="1:3" x14ac:dyDescent="0.25">
      <c r="A864" s="1" t="b">
        <f>ISNUMBER(SEARCH(Popayan_Cali!$F$7,Municipios!G866,1))</f>
        <v>0</v>
      </c>
      <c r="C864" s="1" t="b">
        <f>ISNUMBER(SEARCH($F$8,Municipios!G866,1))</f>
        <v>0</v>
      </c>
    </row>
    <row r="865" spans="1:3" x14ac:dyDescent="0.25">
      <c r="A865" s="1" t="b">
        <f>ISNUMBER(SEARCH(Popayan_Cali!$F$7,Municipios!G867,1))</f>
        <v>0</v>
      </c>
      <c r="C865" s="1" t="b">
        <f>ISNUMBER(SEARCH($F$8,Municipios!G867,1))</f>
        <v>0</v>
      </c>
    </row>
    <row r="866" spans="1:3" x14ac:dyDescent="0.25">
      <c r="A866" s="1" t="b">
        <f>ISNUMBER(SEARCH(Popayan_Cali!$F$7,Municipios!G868,1))</f>
        <v>0</v>
      </c>
      <c r="C866" s="1" t="b">
        <f>ISNUMBER(SEARCH($F$8,Municipios!G868,1))</f>
        <v>0</v>
      </c>
    </row>
    <row r="867" spans="1:3" x14ac:dyDescent="0.25">
      <c r="A867" s="1" t="b">
        <f>ISNUMBER(SEARCH(Popayan_Cali!$F$7,Municipios!G869,1))</f>
        <v>0</v>
      </c>
      <c r="C867" s="1" t="b">
        <f>ISNUMBER(SEARCH($F$8,Municipios!G869,1))</f>
        <v>0</v>
      </c>
    </row>
    <row r="868" spans="1:3" x14ac:dyDescent="0.25">
      <c r="A868" s="1" t="b">
        <f>ISNUMBER(SEARCH(Popayan_Cali!$F$7,Municipios!G870,1))</f>
        <v>0</v>
      </c>
      <c r="C868" s="1" t="b">
        <f>ISNUMBER(SEARCH($F$8,Municipios!G870,1))</f>
        <v>0</v>
      </c>
    </row>
    <row r="869" spans="1:3" x14ac:dyDescent="0.25">
      <c r="A869" s="1" t="b">
        <f>ISNUMBER(SEARCH(Popayan_Cali!$F$7,Municipios!G871,1))</f>
        <v>0</v>
      </c>
      <c r="C869" s="1" t="b">
        <f>ISNUMBER(SEARCH($F$8,Municipios!G871,1))</f>
        <v>0</v>
      </c>
    </row>
    <row r="870" spans="1:3" x14ac:dyDescent="0.25">
      <c r="A870" s="1" t="b">
        <f>ISNUMBER(SEARCH(Popayan_Cali!$F$7,Municipios!G872,1))</f>
        <v>0</v>
      </c>
      <c r="C870" s="1" t="b">
        <f>ISNUMBER(SEARCH($F$8,Municipios!G872,1))</f>
        <v>0</v>
      </c>
    </row>
    <row r="871" spans="1:3" x14ac:dyDescent="0.25">
      <c r="A871" s="1" t="b">
        <f>ISNUMBER(SEARCH(Popayan_Cali!$F$7,Municipios!G873,1))</f>
        <v>0</v>
      </c>
      <c r="C871" s="1" t="b">
        <f>ISNUMBER(SEARCH($F$8,Municipios!G873,1))</f>
        <v>0</v>
      </c>
    </row>
    <row r="872" spans="1:3" x14ac:dyDescent="0.25">
      <c r="A872" s="1" t="b">
        <f>ISNUMBER(SEARCH(Popayan_Cali!$F$7,Municipios!G874,1))</f>
        <v>0</v>
      </c>
      <c r="C872" s="1" t="b">
        <f>ISNUMBER(SEARCH($F$8,Municipios!G874,1))</f>
        <v>0</v>
      </c>
    </row>
    <row r="873" spans="1:3" x14ac:dyDescent="0.25">
      <c r="A873" s="1" t="b">
        <f>ISNUMBER(SEARCH(Popayan_Cali!$F$7,Municipios!G875,1))</f>
        <v>0</v>
      </c>
      <c r="C873" s="1" t="b">
        <f>ISNUMBER(SEARCH($F$8,Municipios!G875,1))</f>
        <v>0</v>
      </c>
    </row>
    <row r="874" spans="1:3" x14ac:dyDescent="0.25">
      <c r="A874" s="1" t="b">
        <f>ISNUMBER(SEARCH(Popayan_Cali!$F$7,Municipios!G876,1))</f>
        <v>0</v>
      </c>
      <c r="C874" s="1" t="b">
        <f>ISNUMBER(SEARCH($F$8,Municipios!G876,1))</f>
        <v>0</v>
      </c>
    </row>
    <row r="875" spans="1:3" x14ac:dyDescent="0.25">
      <c r="A875" s="1" t="b">
        <f>ISNUMBER(SEARCH(Popayan_Cali!$F$7,Municipios!G877,1))</f>
        <v>0</v>
      </c>
      <c r="C875" s="1" t="b">
        <f>ISNUMBER(SEARCH($F$8,Municipios!G877,1))</f>
        <v>0</v>
      </c>
    </row>
    <row r="876" spans="1:3" x14ac:dyDescent="0.25">
      <c r="A876" s="1" t="b">
        <f>ISNUMBER(SEARCH(Popayan_Cali!$F$7,Municipios!G878,1))</f>
        <v>0</v>
      </c>
      <c r="C876" s="1" t="b">
        <f>ISNUMBER(SEARCH($F$8,Municipios!G878,1))</f>
        <v>0</v>
      </c>
    </row>
    <row r="877" spans="1:3" x14ac:dyDescent="0.25">
      <c r="A877" s="1" t="b">
        <f>ISNUMBER(SEARCH(Popayan_Cali!$F$7,Municipios!G879,1))</f>
        <v>0</v>
      </c>
      <c r="C877" s="1" t="b">
        <f>ISNUMBER(SEARCH($F$8,Municipios!G879,1))</f>
        <v>0</v>
      </c>
    </row>
    <row r="878" spans="1:3" x14ac:dyDescent="0.25">
      <c r="A878" s="1" t="b">
        <f>ISNUMBER(SEARCH(Popayan_Cali!$F$7,Municipios!G880,1))</f>
        <v>0</v>
      </c>
      <c r="C878" s="1" t="b">
        <f>ISNUMBER(SEARCH($F$8,Municipios!G880,1))</f>
        <v>0</v>
      </c>
    </row>
    <row r="879" spans="1:3" x14ac:dyDescent="0.25">
      <c r="A879" s="1" t="b">
        <f>ISNUMBER(SEARCH(Popayan_Cali!$F$7,Municipios!G881,1))</f>
        <v>0</v>
      </c>
      <c r="C879" s="1" t="b">
        <f>ISNUMBER(SEARCH($F$8,Municipios!G881,1))</f>
        <v>0</v>
      </c>
    </row>
    <row r="880" spans="1:3" x14ac:dyDescent="0.25">
      <c r="A880" s="1" t="b">
        <f>ISNUMBER(SEARCH(Popayan_Cali!$F$7,Municipios!G882,1))</f>
        <v>0</v>
      </c>
      <c r="C880" s="1" t="b">
        <f>ISNUMBER(SEARCH($F$8,Municipios!G882,1))</f>
        <v>0</v>
      </c>
    </row>
    <row r="881" spans="1:3" x14ac:dyDescent="0.25">
      <c r="A881" s="1" t="b">
        <f>ISNUMBER(SEARCH(Popayan_Cali!$F$7,Municipios!G883,1))</f>
        <v>0</v>
      </c>
      <c r="C881" s="1" t="b">
        <f>ISNUMBER(SEARCH($F$8,Municipios!G883,1))</f>
        <v>0</v>
      </c>
    </row>
    <row r="882" spans="1:3" x14ac:dyDescent="0.25">
      <c r="A882" s="1" t="b">
        <f>ISNUMBER(SEARCH(Popayan_Cali!$F$7,Municipios!G884,1))</f>
        <v>0</v>
      </c>
      <c r="C882" s="1" t="b">
        <f>ISNUMBER(SEARCH($F$8,Municipios!G884,1))</f>
        <v>0</v>
      </c>
    </row>
    <row r="883" spans="1:3" x14ac:dyDescent="0.25">
      <c r="A883" s="1" t="b">
        <f>ISNUMBER(SEARCH(Popayan_Cali!$F$7,Municipios!G885,1))</f>
        <v>0</v>
      </c>
      <c r="C883" s="1" t="b">
        <f>ISNUMBER(SEARCH($F$8,Municipios!G885,1))</f>
        <v>0</v>
      </c>
    </row>
    <row r="884" spans="1:3" x14ac:dyDescent="0.25">
      <c r="A884" s="1" t="b">
        <f>ISNUMBER(SEARCH(Popayan_Cali!$F$7,Municipios!G886,1))</f>
        <v>0</v>
      </c>
      <c r="C884" s="1" t="b">
        <f>ISNUMBER(SEARCH($F$8,Municipios!G886,1))</f>
        <v>0</v>
      </c>
    </row>
    <row r="885" spans="1:3" x14ac:dyDescent="0.25">
      <c r="A885" s="1" t="b">
        <f>ISNUMBER(SEARCH(Popayan_Cali!$F$7,Municipios!G887,1))</f>
        <v>0</v>
      </c>
      <c r="C885" s="1" t="b">
        <f>ISNUMBER(SEARCH($F$8,Municipios!G887,1))</f>
        <v>0</v>
      </c>
    </row>
    <row r="886" spans="1:3" x14ac:dyDescent="0.25">
      <c r="A886" s="1" t="b">
        <f>ISNUMBER(SEARCH(Popayan_Cali!$F$7,Municipios!G888,1))</f>
        <v>0</v>
      </c>
      <c r="C886" s="1" t="b">
        <f>ISNUMBER(SEARCH($F$8,Municipios!G888,1))</f>
        <v>0</v>
      </c>
    </row>
    <row r="887" spans="1:3" x14ac:dyDescent="0.25">
      <c r="A887" s="1" t="b">
        <f>ISNUMBER(SEARCH(Popayan_Cali!$F$7,Municipios!G889,1))</f>
        <v>0</v>
      </c>
      <c r="C887" s="1" t="b">
        <f>ISNUMBER(SEARCH($F$8,Municipios!G889,1))</f>
        <v>0</v>
      </c>
    </row>
    <row r="888" spans="1:3" x14ac:dyDescent="0.25">
      <c r="A888" s="1" t="b">
        <f>ISNUMBER(SEARCH(Popayan_Cali!$F$7,Municipios!G890,1))</f>
        <v>0</v>
      </c>
      <c r="C888" s="1" t="b">
        <f>ISNUMBER(SEARCH($F$8,Municipios!G890,1))</f>
        <v>0</v>
      </c>
    </row>
    <row r="889" spans="1:3" x14ac:dyDescent="0.25">
      <c r="A889" s="1" t="b">
        <f>ISNUMBER(SEARCH(Popayan_Cali!$F$7,Municipios!G891,1))</f>
        <v>0</v>
      </c>
      <c r="C889" s="1" t="b">
        <f>ISNUMBER(SEARCH($F$8,Municipios!G891,1))</f>
        <v>0</v>
      </c>
    </row>
    <row r="890" spans="1:3" x14ac:dyDescent="0.25">
      <c r="A890" s="1" t="b">
        <f>ISNUMBER(SEARCH(Popayan_Cali!$F$7,Municipios!G892,1))</f>
        <v>0</v>
      </c>
      <c r="C890" s="1" t="b">
        <f>ISNUMBER(SEARCH($F$8,Municipios!G892,1))</f>
        <v>0</v>
      </c>
    </row>
    <row r="891" spans="1:3" x14ac:dyDescent="0.25">
      <c r="A891" s="1" t="b">
        <f>ISNUMBER(SEARCH(Popayan_Cali!$F$7,Municipios!G893,1))</f>
        <v>0</v>
      </c>
      <c r="C891" s="1" t="b">
        <f>ISNUMBER(SEARCH($F$8,Municipios!G893,1))</f>
        <v>0</v>
      </c>
    </row>
    <row r="892" spans="1:3" x14ac:dyDescent="0.25">
      <c r="A892" s="1" t="b">
        <f>ISNUMBER(SEARCH(Popayan_Cali!$F$7,Municipios!G894,1))</f>
        <v>0</v>
      </c>
      <c r="C892" s="1" t="b">
        <f>ISNUMBER(SEARCH($F$8,Municipios!G894,1))</f>
        <v>0</v>
      </c>
    </row>
    <row r="893" spans="1:3" x14ac:dyDescent="0.25">
      <c r="A893" s="1" t="b">
        <f>ISNUMBER(SEARCH(Popayan_Cali!$F$7,Municipios!G895,1))</f>
        <v>0</v>
      </c>
      <c r="C893" s="1" t="b">
        <f>ISNUMBER(SEARCH($F$8,Municipios!G895,1))</f>
        <v>0</v>
      </c>
    </row>
    <row r="894" spans="1:3" x14ac:dyDescent="0.25">
      <c r="A894" s="1" t="b">
        <f>ISNUMBER(SEARCH(Popayan_Cali!$F$7,Municipios!G896,1))</f>
        <v>0</v>
      </c>
      <c r="C894" s="1" t="b">
        <f>ISNUMBER(SEARCH($F$8,Municipios!G896,1))</f>
        <v>0</v>
      </c>
    </row>
    <row r="895" spans="1:3" x14ac:dyDescent="0.25">
      <c r="A895" s="1" t="b">
        <f>ISNUMBER(SEARCH(Popayan_Cali!$F$7,Municipios!G897,1))</f>
        <v>0</v>
      </c>
      <c r="C895" s="1" t="b">
        <f>ISNUMBER(SEARCH($F$8,Municipios!G897,1))</f>
        <v>0</v>
      </c>
    </row>
    <row r="896" spans="1:3" x14ac:dyDescent="0.25">
      <c r="A896" s="1" t="b">
        <f>ISNUMBER(SEARCH(Popayan_Cali!$F$7,Municipios!G898,1))</f>
        <v>0</v>
      </c>
      <c r="C896" s="1" t="b">
        <f>ISNUMBER(SEARCH($F$8,Municipios!G898,1))</f>
        <v>0</v>
      </c>
    </row>
    <row r="897" spans="1:3" x14ac:dyDescent="0.25">
      <c r="A897" s="1" t="b">
        <f>ISNUMBER(SEARCH(Popayan_Cali!$F$7,Municipios!G899,1))</f>
        <v>0</v>
      </c>
      <c r="C897" s="1" t="b">
        <f>ISNUMBER(SEARCH($F$8,Municipios!G899,1))</f>
        <v>0</v>
      </c>
    </row>
    <row r="898" spans="1:3" x14ac:dyDescent="0.25">
      <c r="A898" s="1" t="b">
        <f>ISNUMBER(SEARCH(Popayan_Cali!$F$7,Municipios!G900,1))</f>
        <v>0</v>
      </c>
      <c r="C898" s="1" t="b">
        <f>ISNUMBER(SEARCH($F$8,Municipios!G900,1))</f>
        <v>0</v>
      </c>
    </row>
    <row r="899" spans="1:3" x14ac:dyDescent="0.25">
      <c r="A899" s="1" t="b">
        <f>ISNUMBER(SEARCH(Popayan_Cali!$F$7,Municipios!G901,1))</f>
        <v>0</v>
      </c>
      <c r="C899" s="1" t="b">
        <f>ISNUMBER(SEARCH($F$8,Municipios!G901,1))</f>
        <v>0</v>
      </c>
    </row>
    <row r="900" spans="1:3" x14ac:dyDescent="0.25">
      <c r="A900" s="1" t="b">
        <f>ISNUMBER(SEARCH(Popayan_Cali!$F$7,Municipios!G902,1))</f>
        <v>0</v>
      </c>
      <c r="C900" s="1" t="b">
        <f>ISNUMBER(SEARCH($F$8,Municipios!G902,1))</f>
        <v>0</v>
      </c>
    </row>
    <row r="901" spans="1:3" x14ac:dyDescent="0.25">
      <c r="A901" s="1" t="b">
        <f>ISNUMBER(SEARCH(Popayan_Cali!$F$7,Municipios!G903,1))</f>
        <v>0</v>
      </c>
      <c r="C901" s="1" t="b">
        <f>ISNUMBER(SEARCH($F$8,Municipios!G903,1))</f>
        <v>0</v>
      </c>
    </row>
    <row r="902" spans="1:3" x14ac:dyDescent="0.25">
      <c r="A902" s="1" t="b">
        <f>ISNUMBER(SEARCH(Popayan_Cali!$F$7,Municipios!G904,1))</f>
        <v>0</v>
      </c>
      <c r="C902" s="1" t="b">
        <f>ISNUMBER(SEARCH($F$8,Municipios!G904,1))</f>
        <v>0</v>
      </c>
    </row>
    <row r="903" spans="1:3" x14ac:dyDescent="0.25">
      <c r="A903" s="1" t="b">
        <f>ISNUMBER(SEARCH(Popayan_Cali!$F$7,Municipios!G905,1))</f>
        <v>0</v>
      </c>
      <c r="C903" s="1" t="b">
        <f>ISNUMBER(SEARCH($F$8,Municipios!G905,1))</f>
        <v>0</v>
      </c>
    </row>
    <row r="904" spans="1:3" x14ac:dyDescent="0.25">
      <c r="A904" s="1" t="b">
        <f>ISNUMBER(SEARCH(Popayan_Cali!$F$7,Municipios!G906,1))</f>
        <v>0</v>
      </c>
      <c r="C904" s="1" t="b">
        <f>ISNUMBER(SEARCH($F$8,Municipios!G906,1))</f>
        <v>0</v>
      </c>
    </row>
    <row r="905" spans="1:3" x14ac:dyDescent="0.25">
      <c r="A905" s="1" t="b">
        <f>ISNUMBER(SEARCH(Popayan_Cali!$F$7,Municipios!G907,1))</f>
        <v>0</v>
      </c>
      <c r="C905" s="1" t="b">
        <f>ISNUMBER(SEARCH($F$8,Municipios!G907,1))</f>
        <v>0</v>
      </c>
    </row>
    <row r="906" spans="1:3" x14ac:dyDescent="0.25">
      <c r="A906" s="1" t="b">
        <f>ISNUMBER(SEARCH(Popayan_Cali!$F$7,Municipios!G908,1))</f>
        <v>0</v>
      </c>
      <c r="C906" s="1" t="b">
        <f>ISNUMBER(SEARCH($F$8,Municipios!G908,1))</f>
        <v>0</v>
      </c>
    </row>
    <row r="907" spans="1:3" x14ac:dyDescent="0.25">
      <c r="A907" s="1" t="b">
        <f>ISNUMBER(SEARCH(Popayan_Cali!$F$7,Municipios!G909,1))</f>
        <v>0</v>
      </c>
      <c r="C907" s="1" t="b">
        <f>ISNUMBER(SEARCH($F$8,Municipios!G909,1))</f>
        <v>0</v>
      </c>
    </row>
    <row r="908" spans="1:3" x14ac:dyDescent="0.25">
      <c r="A908" s="1" t="b">
        <f>ISNUMBER(SEARCH(Popayan_Cali!$F$7,Municipios!G910,1))</f>
        <v>0</v>
      </c>
      <c r="C908" s="1" t="b">
        <f>ISNUMBER(SEARCH($F$8,Municipios!G910,1))</f>
        <v>0</v>
      </c>
    </row>
    <row r="909" spans="1:3" x14ac:dyDescent="0.25">
      <c r="A909" s="1" t="b">
        <f>ISNUMBER(SEARCH(Popayan_Cali!$F$7,Municipios!G911,1))</f>
        <v>0</v>
      </c>
      <c r="C909" s="1" t="b">
        <f>ISNUMBER(SEARCH($F$8,Municipios!G911,1))</f>
        <v>0</v>
      </c>
    </row>
    <row r="910" spans="1:3" x14ac:dyDescent="0.25">
      <c r="A910" s="1" t="b">
        <f>ISNUMBER(SEARCH(Popayan_Cali!$F$7,Municipios!G912,1))</f>
        <v>0</v>
      </c>
      <c r="C910" s="1" t="b">
        <f>ISNUMBER(SEARCH($F$8,Municipios!G912,1))</f>
        <v>0</v>
      </c>
    </row>
    <row r="911" spans="1:3" x14ac:dyDescent="0.25">
      <c r="A911" s="1" t="b">
        <f>ISNUMBER(SEARCH(Popayan_Cali!$F$7,Municipios!G913,1))</f>
        <v>0</v>
      </c>
      <c r="C911" s="1" t="b">
        <f>ISNUMBER(SEARCH($F$8,Municipios!G913,1))</f>
        <v>0</v>
      </c>
    </row>
    <row r="912" spans="1:3" x14ac:dyDescent="0.25">
      <c r="A912" s="1" t="b">
        <f>ISNUMBER(SEARCH(Popayan_Cali!$F$7,Municipios!G914,1))</f>
        <v>0</v>
      </c>
      <c r="C912" s="1" t="b">
        <f>ISNUMBER(SEARCH($F$8,Municipios!G914,1))</f>
        <v>0</v>
      </c>
    </row>
    <row r="913" spans="1:3" x14ac:dyDescent="0.25">
      <c r="A913" s="1" t="b">
        <f>ISNUMBER(SEARCH(Popayan_Cali!$F$7,Municipios!G915,1))</f>
        <v>0</v>
      </c>
      <c r="C913" s="1" t="b">
        <f>ISNUMBER(SEARCH($F$8,Municipios!G915,1))</f>
        <v>0</v>
      </c>
    </row>
    <row r="914" spans="1:3" x14ac:dyDescent="0.25">
      <c r="A914" s="1" t="b">
        <f>ISNUMBER(SEARCH(Popayan_Cali!$F$7,Municipios!G916,1))</f>
        <v>0</v>
      </c>
      <c r="C914" s="1" t="b">
        <f>ISNUMBER(SEARCH($F$8,Municipios!G916,1))</f>
        <v>0</v>
      </c>
    </row>
    <row r="915" spans="1:3" x14ac:dyDescent="0.25">
      <c r="A915" s="1" t="b">
        <f>ISNUMBER(SEARCH(Popayan_Cali!$F$7,Municipios!G917,1))</f>
        <v>0</v>
      </c>
      <c r="C915" s="1" t="b">
        <f>ISNUMBER(SEARCH($F$8,Municipios!G917,1))</f>
        <v>0</v>
      </c>
    </row>
    <row r="916" spans="1:3" x14ac:dyDescent="0.25">
      <c r="A916" s="1" t="b">
        <f>ISNUMBER(SEARCH(Popayan_Cali!$F$7,Municipios!G918,1))</f>
        <v>0</v>
      </c>
      <c r="C916" s="1" t="b">
        <f>ISNUMBER(SEARCH($F$8,Municipios!G918,1))</f>
        <v>0</v>
      </c>
    </row>
    <row r="917" spans="1:3" x14ac:dyDescent="0.25">
      <c r="A917" s="1" t="b">
        <f>ISNUMBER(SEARCH(Popayan_Cali!$F$7,Municipios!G919,1))</f>
        <v>0</v>
      </c>
      <c r="C917" s="1" t="b">
        <f>ISNUMBER(SEARCH($F$8,Municipios!G919,1))</f>
        <v>0</v>
      </c>
    </row>
    <row r="918" spans="1:3" x14ac:dyDescent="0.25">
      <c r="A918" s="1" t="b">
        <f>ISNUMBER(SEARCH(Popayan_Cali!$F$7,Municipios!G920,1))</f>
        <v>0</v>
      </c>
      <c r="C918" s="1" t="b">
        <f>ISNUMBER(SEARCH($F$8,Municipios!G920,1))</f>
        <v>0</v>
      </c>
    </row>
    <row r="919" spans="1:3" x14ac:dyDescent="0.25">
      <c r="A919" s="1" t="b">
        <f>ISNUMBER(SEARCH(Popayan_Cali!$F$7,Municipios!G921,1))</f>
        <v>0</v>
      </c>
      <c r="C919" s="1" t="b">
        <f>ISNUMBER(SEARCH($F$8,Municipios!G921,1))</f>
        <v>0</v>
      </c>
    </row>
    <row r="920" spans="1:3" x14ac:dyDescent="0.25">
      <c r="A920" s="1" t="b">
        <f>ISNUMBER(SEARCH(Popayan_Cali!$F$7,Municipios!G922,1))</f>
        <v>0</v>
      </c>
      <c r="C920" s="1" t="b">
        <f>ISNUMBER(SEARCH($F$8,Municipios!G922,1))</f>
        <v>0</v>
      </c>
    </row>
    <row r="921" spans="1:3" x14ac:dyDescent="0.25">
      <c r="A921" s="1" t="b">
        <f>ISNUMBER(SEARCH(Popayan_Cali!$F$7,Municipios!G923,1))</f>
        <v>0</v>
      </c>
      <c r="C921" s="1" t="b">
        <f>ISNUMBER(SEARCH($F$8,Municipios!G923,1))</f>
        <v>0</v>
      </c>
    </row>
    <row r="922" spans="1:3" x14ac:dyDescent="0.25">
      <c r="A922" s="1" t="b">
        <f>ISNUMBER(SEARCH(Popayan_Cali!$F$7,Municipios!G924,1))</f>
        <v>0</v>
      </c>
      <c r="C922" s="1" t="b">
        <f>ISNUMBER(SEARCH($F$8,Municipios!G924,1))</f>
        <v>0</v>
      </c>
    </row>
    <row r="923" spans="1:3" x14ac:dyDescent="0.25">
      <c r="A923" s="1" t="b">
        <f>ISNUMBER(SEARCH(Popayan_Cali!$F$7,Municipios!G925,1))</f>
        <v>0</v>
      </c>
      <c r="C923" s="1" t="b">
        <f>ISNUMBER(SEARCH($F$8,Municipios!G925,1))</f>
        <v>0</v>
      </c>
    </row>
    <row r="924" spans="1:3" x14ac:dyDescent="0.25">
      <c r="A924" s="1" t="b">
        <f>ISNUMBER(SEARCH(Popayan_Cali!$F$7,Municipios!G926,1))</f>
        <v>0</v>
      </c>
      <c r="C924" s="1" t="b">
        <f>ISNUMBER(SEARCH($F$8,Municipios!G926,1))</f>
        <v>0</v>
      </c>
    </row>
    <row r="925" spans="1:3" x14ac:dyDescent="0.25">
      <c r="A925" s="1" t="b">
        <f>ISNUMBER(SEARCH(Popayan_Cali!$F$7,Municipios!G927,1))</f>
        <v>0</v>
      </c>
      <c r="C925" s="1" t="b">
        <f>ISNUMBER(SEARCH($F$8,Municipios!G927,1))</f>
        <v>0</v>
      </c>
    </row>
    <row r="926" spans="1:3" x14ac:dyDescent="0.25">
      <c r="A926" s="1" t="b">
        <f>ISNUMBER(SEARCH(Popayan_Cali!$F$7,Municipios!G928,1))</f>
        <v>0</v>
      </c>
      <c r="C926" s="1" t="b">
        <f>ISNUMBER(SEARCH($F$8,Municipios!G928,1))</f>
        <v>0</v>
      </c>
    </row>
    <row r="927" spans="1:3" x14ac:dyDescent="0.25">
      <c r="A927" s="1" t="b">
        <f>ISNUMBER(SEARCH(Popayan_Cali!$F$7,Municipios!G929,1))</f>
        <v>0</v>
      </c>
      <c r="C927" s="1" t="b">
        <f>ISNUMBER(SEARCH($F$8,Municipios!G929,1))</f>
        <v>0</v>
      </c>
    </row>
    <row r="928" spans="1:3" x14ac:dyDescent="0.25">
      <c r="A928" s="1" t="b">
        <f>ISNUMBER(SEARCH(Popayan_Cali!$F$7,Municipios!G930,1))</f>
        <v>0</v>
      </c>
      <c r="C928" s="1" t="b">
        <f>ISNUMBER(SEARCH($F$8,Municipios!G930,1))</f>
        <v>0</v>
      </c>
    </row>
    <row r="929" spans="1:3" x14ac:dyDescent="0.25">
      <c r="A929" s="1" t="b">
        <f>ISNUMBER(SEARCH(Popayan_Cali!$F$7,Municipios!G931,1))</f>
        <v>0</v>
      </c>
      <c r="C929" s="1" t="b">
        <f>ISNUMBER(SEARCH($F$8,Municipios!G931,1))</f>
        <v>0</v>
      </c>
    </row>
    <row r="930" spans="1:3" x14ac:dyDescent="0.25">
      <c r="A930" s="1" t="b">
        <f>ISNUMBER(SEARCH(Popayan_Cali!$F$7,Municipios!G932,1))</f>
        <v>0</v>
      </c>
      <c r="C930" s="1" t="b">
        <f>ISNUMBER(SEARCH($F$8,Municipios!G932,1))</f>
        <v>0</v>
      </c>
    </row>
    <row r="931" spans="1:3" x14ac:dyDescent="0.25">
      <c r="A931" s="1" t="b">
        <f>ISNUMBER(SEARCH(Popayan_Cali!$F$7,Municipios!G933,1))</f>
        <v>0</v>
      </c>
      <c r="C931" s="1" t="b">
        <f>ISNUMBER(SEARCH($F$8,Municipios!G933,1))</f>
        <v>0</v>
      </c>
    </row>
    <row r="932" spans="1:3" x14ac:dyDescent="0.25">
      <c r="A932" s="1" t="b">
        <f>ISNUMBER(SEARCH(Popayan_Cali!$F$7,Municipios!G934,1))</f>
        <v>0</v>
      </c>
      <c r="C932" s="1" t="b">
        <f>ISNUMBER(SEARCH($F$8,Municipios!G934,1))</f>
        <v>0</v>
      </c>
    </row>
    <row r="933" spans="1:3" x14ac:dyDescent="0.25">
      <c r="A933" s="1" t="b">
        <f>ISNUMBER(SEARCH(Popayan_Cali!$F$7,Municipios!G935,1))</f>
        <v>0</v>
      </c>
      <c r="C933" s="1" t="b">
        <f>ISNUMBER(SEARCH($F$8,Municipios!G935,1))</f>
        <v>0</v>
      </c>
    </row>
    <row r="934" spans="1:3" x14ac:dyDescent="0.25">
      <c r="A934" s="1" t="b">
        <f>ISNUMBER(SEARCH(Popayan_Cali!$F$7,Municipios!G936,1))</f>
        <v>0</v>
      </c>
      <c r="C934" s="1" t="b">
        <f>ISNUMBER(SEARCH($F$8,Municipios!G936,1))</f>
        <v>0</v>
      </c>
    </row>
    <row r="935" spans="1:3" x14ac:dyDescent="0.25">
      <c r="A935" s="1" t="b">
        <f>ISNUMBER(SEARCH(Popayan_Cali!$F$7,Municipios!G937,1))</f>
        <v>0</v>
      </c>
      <c r="C935" s="1" t="b">
        <f>ISNUMBER(SEARCH($F$8,Municipios!G937,1))</f>
        <v>0</v>
      </c>
    </row>
    <row r="936" spans="1:3" x14ac:dyDescent="0.25">
      <c r="A936" s="1" t="b">
        <f>ISNUMBER(SEARCH(Popayan_Cali!$F$7,Municipios!G938,1))</f>
        <v>0</v>
      </c>
      <c r="C936" s="1" t="b">
        <f>ISNUMBER(SEARCH($F$8,Municipios!G938,1))</f>
        <v>0</v>
      </c>
    </row>
    <row r="937" spans="1:3" x14ac:dyDescent="0.25">
      <c r="A937" s="1" t="b">
        <f>ISNUMBER(SEARCH(Popayan_Cali!$F$7,Municipios!G939,1))</f>
        <v>0</v>
      </c>
      <c r="C937" s="1" t="b">
        <f>ISNUMBER(SEARCH($F$8,Municipios!G939,1))</f>
        <v>0</v>
      </c>
    </row>
    <row r="938" spans="1:3" x14ac:dyDescent="0.25">
      <c r="A938" s="1" t="b">
        <f>ISNUMBER(SEARCH(Popayan_Cali!$F$7,Municipios!G940,1))</f>
        <v>0</v>
      </c>
      <c r="C938" s="1" t="b">
        <f>ISNUMBER(SEARCH($F$8,Municipios!G940,1))</f>
        <v>0</v>
      </c>
    </row>
    <row r="939" spans="1:3" x14ac:dyDescent="0.25">
      <c r="A939" s="1" t="b">
        <f>ISNUMBER(SEARCH(Popayan_Cali!$F$7,Municipios!G941,1))</f>
        <v>0</v>
      </c>
      <c r="C939" s="1" t="b">
        <f>ISNUMBER(SEARCH($F$8,Municipios!G941,1))</f>
        <v>0</v>
      </c>
    </row>
    <row r="940" spans="1:3" x14ac:dyDescent="0.25">
      <c r="A940" s="1" t="b">
        <f>ISNUMBER(SEARCH(Popayan_Cali!$F$7,Municipios!G942,1))</f>
        <v>0</v>
      </c>
      <c r="C940" s="1" t="b">
        <f>ISNUMBER(SEARCH($F$8,Municipios!G942,1))</f>
        <v>0</v>
      </c>
    </row>
    <row r="941" spans="1:3" x14ac:dyDescent="0.25">
      <c r="A941" s="1" t="b">
        <f>ISNUMBER(SEARCH(Popayan_Cali!$F$7,Municipios!G943,1))</f>
        <v>0</v>
      </c>
      <c r="C941" s="1" t="b">
        <f>ISNUMBER(SEARCH($F$8,Municipios!G943,1))</f>
        <v>0</v>
      </c>
    </row>
    <row r="942" spans="1:3" x14ac:dyDescent="0.25">
      <c r="A942" s="1" t="b">
        <f>ISNUMBER(SEARCH(Popayan_Cali!$F$7,Municipios!G944,1))</f>
        <v>0</v>
      </c>
      <c r="C942" s="1" t="b">
        <f>ISNUMBER(SEARCH($F$8,Municipios!G944,1))</f>
        <v>0</v>
      </c>
    </row>
    <row r="943" spans="1:3" x14ac:dyDescent="0.25">
      <c r="A943" s="1" t="b">
        <f>ISNUMBER(SEARCH(Popayan_Cali!$F$7,Municipios!G945,1))</f>
        <v>0</v>
      </c>
      <c r="C943" s="1" t="b">
        <f>ISNUMBER(SEARCH($F$8,Municipios!G945,1))</f>
        <v>0</v>
      </c>
    </row>
    <row r="944" spans="1:3" x14ac:dyDescent="0.25">
      <c r="A944" s="1" t="b">
        <f>ISNUMBER(SEARCH(Popayan_Cali!$F$7,Municipios!G946,1))</f>
        <v>0</v>
      </c>
      <c r="C944" s="1" t="b">
        <f>ISNUMBER(SEARCH($F$8,Municipios!G946,1))</f>
        <v>0</v>
      </c>
    </row>
    <row r="945" spans="1:3" x14ac:dyDescent="0.25">
      <c r="A945" s="1" t="b">
        <f>ISNUMBER(SEARCH(Popayan_Cali!$F$7,Municipios!G947,1))</f>
        <v>0</v>
      </c>
      <c r="C945" s="1" t="b">
        <f>ISNUMBER(SEARCH($F$8,Municipios!G947,1))</f>
        <v>0</v>
      </c>
    </row>
    <row r="946" spans="1:3" x14ac:dyDescent="0.25">
      <c r="A946" s="1" t="b">
        <f>ISNUMBER(SEARCH(Popayan_Cali!$F$7,Municipios!G948,1))</f>
        <v>0</v>
      </c>
      <c r="C946" s="1" t="b">
        <f>ISNUMBER(SEARCH($F$8,Municipios!G948,1))</f>
        <v>0</v>
      </c>
    </row>
    <row r="947" spans="1:3" x14ac:dyDescent="0.25">
      <c r="A947" s="1" t="b">
        <f>ISNUMBER(SEARCH(Popayan_Cali!$F$7,Municipios!G949,1))</f>
        <v>0</v>
      </c>
      <c r="C947" s="1" t="b">
        <f>ISNUMBER(SEARCH($F$8,Municipios!G949,1))</f>
        <v>0</v>
      </c>
    </row>
    <row r="948" spans="1:3" x14ac:dyDescent="0.25">
      <c r="A948" s="1" t="b">
        <f>ISNUMBER(SEARCH(Popayan_Cali!$F$7,Municipios!G950,1))</f>
        <v>0</v>
      </c>
      <c r="C948" s="1" t="b">
        <f>ISNUMBER(SEARCH($F$8,Municipios!G950,1))</f>
        <v>0</v>
      </c>
    </row>
    <row r="949" spans="1:3" x14ac:dyDescent="0.25">
      <c r="A949" s="1" t="b">
        <f>ISNUMBER(SEARCH(Popayan_Cali!$F$7,Municipios!G951,1))</f>
        <v>0</v>
      </c>
      <c r="C949" s="1" t="b">
        <f>ISNUMBER(SEARCH($F$8,Municipios!G951,1))</f>
        <v>0</v>
      </c>
    </row>
    <row r="950" spans="1:3" x14ac:dyDescent="0.25">
      <c r="A950" s="1" t="b">
        <f>ISNUMBER(SEARCH(Popayan_Cali!$F$7,Municipios!G952,1))</f>
        <v>0</v>
      </c>
      <c r="C950" s="1" t="b">
        <f>ISNUMBER(SEARCH($F$8,Municipios!G952,1))</f>
        <v>0</v>
      </c>
    </row>
    <row r="951" spans="1:3" x14ac:dyDescent="0.25">
      <c r="A951" s="1" t="b">
        <f>ISNUMBER(SEARCH(Popayan_Cali!$F$7,Municipios!G953,1))</f>
        <v>0</v>
      </c>
      <c r="C951" s="1" t="b">
        <f>ISNUMBER(SEARCH($F$8,Municipios!G953,1))</f>
        <v>0</v>
      </c>
    </row>
    <row r="952" spans="1:3" x14ac:dyDescent="0.25">
      <c r="A952" s="1" t="b">
        <f>ISNUMBER(SEARCH(Popayan_Cali!$F$7,Municipios!G954,1))</f>
        <v>0</v>
      </c>
      <c r="C952" s="1" t="b">
        <f>ISNUMBER(SEARCH($F$8,Municipios!G954,1))</f>
        <v>0</v>
      </c>
    </row>
    <row r="953" spans="1:3" x14ac:dyDescent="0.25">
      <c r="A953" s="1" t="b">
        <f>ISNUMBER(SEARCH(Popayan_Cali!$F$7,Municipios!G955,1))</f>
        <v>0</v>
      </c>
      <c r="C953" s="1" t="b">
        <f>ISNUMBER(SEARCH($F$8,Municipios!G955,1))</f>
        <v>0</v>
      </c>
    </row>
    <row r="954" spans="1:3" x14ac:dyDescent="0.25">
      <c r="A954" s="1" t="b">
        <f>ISNUMBER(SEARCH(Popayan_Cali!$F$7,Municipios!G956,1))</f>
        <v>0</v>
      </c>
      <c r="C954" s="1" t="b">
        <f>ISNUMBER(SEARCH($F$8,Municipios!G956,1))</f>
        <v>0</v>
      </c>
    </row>
    <row r="955" spans="1:3" x14ac:dyDescent="0.25">
      <c r="A955" s="1" t="b">
        <f>ISNUMBER(SEARCH(Popayan_Cali!$F$7,Municipios!G957,1))</f>
        <v>0</v>
      </c>
      <c r="C955" s="1" t="b">
        <f>ISNUMBER(SEARCH($F$8,Municipios!G957,1))</f>
        <v>0</v>
      </c>
    </row>
    <row r="956" spans="1:3" x14ac:dyDescent="0.25">
      <c r="A956" s="1" t="b">
        <f>ISNUMBER(SEARCH(Popayan_Cali!$F$7,Municipios!G958,1))</f>
        <v>0</v>
      </c>
      <c r="C956" s="1" t="b">
        <f>ISNUMBER(SEARCH($F$8,Municipios!G958,1))</f>
        <v>0</v>
      </c>
    </row>
    <row r="957" spans="1:3" x14ac:dyDescent="0.25">
      <c r="A957" s="1" t="b">
        <f>ISNUMBER(SEARCH(Popayan_Cali!$F$7,Municipios!G959,1))</f>
        <v>0</v>
      </c>
      <c r="C957" s="1" t="b">
        <f>ISNUMBER(SEARCH($F$8,Municipios!G959,1))</f>
        <v>0</v>
      </c>
    </row>
    <row r="958" spans="1:3" x14ac:dyDescent="0.25">
      <c r="A958" s="1" t="b">
        <f>ISNUMBER(SEARCH(Popayan_Cali!$F$7,Municipios!G960,1))</f>
        <v>0</v>
      </c>
      <c r="C958" s="1" t="b">
        <f>ISNUMBER(SEARCH($F$8,Municipios!G960,1))</f>
        <v>0</v>
      </c>
    </row>
    <row r="959" spans="1:3" x14ac:dyDescent="0.25">
      <c r="A959" s="1" t="b">
        <f>ISNUMBER(SEARCH(Popayan_Cali!$F$7,Municipios!G961,1))</f>
        <v>0</v>
      </c>
      <c r="C959" s="1" t="b">
        <f>ISNUMBER(SEARCH($F$8,Municipios!G961,1))</f>
        <v>0</v>
      </c>
    </row>
    <row r="960" spans="1:3" x14ac:dyDescent="0.25">
      <c r="A960" s="1" t="b">
        <f>ISNUMBER(SEARCH(Popayan_Cali!$F$7,Municipios!G962,1))</f>
        <v>0</v>
      </c>
      <c r="C960" s="1" t="b">
        <f>ISNUMBER(SEARCH($F$8,Municipios!G962,1))</f>
        <v>0</v>
      </c>
    </row>
    <row r="961" spans="1:3" x14ac:dyDescent="0.25">
      <c r="A961" s="1" t="b">
        <f>ISNUMBER(SEARCH(Popayan_Cali!$F$7,Municipios!G963,1))</f>
        <v>0</v>
      </c>
      <c r="C961" s="1" t="b">
        <f>ISNUMBER(SEARCH($F$8,Municipios!G963,1))</f>
        <v>0</v>
      </c>
    </row>
    <row r="962" spans="1:3" x14ac:dyDescent="0.25">
      <c r="A962" s="1" t="b">
        <f>ISNUMBER(SEARCH(Popayan_Cali!$F$7,Municipios!G964,1))</f>
        <v>0</v>
      </c>
      <c r="C962" s="1" t="b">
        <f>ISNUMBER(SEARCH($F$8,Municipios!G964,1))</f>
        <v>0</v>
      </c>
    </row>
    <row r="963" spans="1:3" x14ac:dyDescent="0.25">
      <c r="A963" s="1" t="b">
        <f>ISNUMBER(SEARCH(Popayan_Cali!$F$7,Municipios!G965,1))</f>
        <v>0</v>
      </c>
      <c r="C963" s="1" t="b">
        <f>ISNUMBER(SEARCH($F$8,Municipios!G965,1))</f>
        <v>0</v>
      </c>
    </row>
    <row r="964" spans="1:3" x14ac:dyDescent="0.25">
      <c r="A964" s="1" t="b">
        <f>ISNUMBER(SEARCH(Popayan_Cali!$F$7,Municipios!G966,1))</f>
        <v>0</v>
      </c>
      <c r="C964" s="1" t="b">
        <f>ISNUMBER(SEARCH($F$8,Municipios!G966,1))</f>
        <v>0</v>
      </c>
    </row>
    <row r="965" spans="1:3" x14ac:dyDescent="0.25">
      <c r="A965" s="1" t="b">
        <f>ISNUMBER(SEARCH(Popayan_Cali!$F$7,Municipios!G967,1))</f>
        <v>0</v>
      </c>
      <c r="C965" s="1" t="b">
        <f>ISNUMBER(SEARCH($F$8,Municipios!G967,1))</f>
        <v>0</v>
      </c>
    </row>
    <row r="966" spans="1:3" x14ac:dyDescent="0.25">
      <c r="A966" s="1" t="b">
        <f>ISNUMBER(SEARCH(Popayan_Cali!$F$7,Municipios!G968,1))</f>
        <v>0</v>
      </c>
      <c r="C966" s="1" t="b">
        <f>ISNUMBER(SEARCH($F$8,Municipios!G968,1))</f>
        <v>0</v>
      </c>
    </row>
    <row r="967" spans="1:3" x14ac:dyDescent="0.25">
      <c r="A967" s="1" t="b">
        <f>ISNUMBER(SEARCH(Popayan_Cali!$F$7,Municipios!G969,1))</f>
        <v>0</v>
      </c>
      <c r="C967" s="1" t="b">
        <f>ISNUMBER(SEARCH($F$8,Municipios!G969,1))</f>
        <v>0</v>
      </c>
    </row>
    <row r="968" spans="1:3" x14ac:dyDescent="0.25">
      <c r="A968" s="1" t="b">
        <f>ISNUMBER(SEARCH(Popayan_Cali!$F$7,Municipios!G970,1))</f>
        <v>0</v>
      </c>
      <c r="C968" s="1" t="b">
        <f>ISNUMBER(SEARCH($F$8,Municipios!G970,1))</f>
        <v>0</v>
      </c>
    </row>
    <row r="969" spans="1:3" x14ac:dyDescent="0.25">
      <c r="A969" s="1" t="b">
        <f>ISNUMBER(SEARCH(Popayan_Cali!$F$7,Municipios!G971,1))</f>
        <v>0</v>
      </c>
      <c r="C969" s="1" t="b">
        <f>ISNUMBER(SEARCH($F$8,Municipios!G971,1))</f>
        <v>0</v>
      </c>
    </row>
    <row r="970" spans="1:3" x14ac:dyDescent="0.25">
      <c r="A970" s="1" t="b">
        <f>ISNUMBER(SEARCH(Popayan_Cali!$F$7,Municipios!G972,1))</f>
        <v>0</v>
      </c>
      <c r="C970" s="1" t="b">
        <f>ISNUMBER(SEARCH($F$8,Municipios!G972,1))</f>
        <v>0</v>
      </c>
    </row>
    <row r="971" spans="1:3" x14ac:dyDescent="0.25">
      <c r="A971" s="1" t="b">
        <f>ISNUMBER(SEARCH(Popayan_Cali!$F$7,Municipios!G973,1))</f>
        <v>0</v>
      </c>
      <c r="C971" s="1" t="b">
        <f>ISNUMBER(SEARCH($F$8,Municipios!G973,1))</f>
        <v>0</v>
      </c>
    </row>
    <row r="972" spans="1:3" x14ac:dyDescent="0.25">
      <c r="A972" s="1" t="b">
        <f>ISNUMBER(SEARCH(Popayan_Cali!$F$7,Municipios!G974,1))</f>
        <v>0</v>
      </c>
      <c r="C972" s="1" t="b">
        <f>ISNUMBER(SEARCH($F$8,Municipios!G974,1))</f>
        <v>0</v>
      </c>
    </row>
    <row r="973" spans="1:3" x14ac:dyDescent="0.25">
      <c r="A973" s="1" t="b">
        <f>ISNUMBER(SEARCH(Popayan_Cali!$F$7,Municipios!G975,1))</f>
        <v>0</v>
      </c>
      <c r="C973" s="1" t="b">
        <f>ISNUMBER(SEARCH($F$8,Municipios!G975,1))</f>
        <v>0</v>
      </c>
    </row>
    <row r="974" spans="1:3" x14ac:dyDescent="0.25">
      <c r="A974" s="1" t="b">
        <f>ISNUMBER(SEARCH(Popayan_Cali!$F$7,Municipios!G976,1))</f>
        <v>0</v>
      </c>
      <c r="C974" s="1" t="b">
        <f>ISNUMBER(SEARCH($F$8,Municipios!G976,1))</f>
        <v>0</v>
      </c>
    </row>
    <row r="975" spans="1:3" x14ac:dyDescent="0.25">
      <c r="A975" s="1" t="b">
        <f>ISNUMBER(SEARCH(Popayan_Cali!$F$7,Municipios!G977,1))</f>
        <v>0</v>
      </c>
      <c r="C975" s="1" t="b">
        <f>ISNUMBER(SEARCH($F$8,Municipios!G977,1))</f>
        <v>0</v>
      </c>
    </row>
    <row r="976" spans="1:3" x14ac:dyDescent="0.25">
      <c r="A976" s="1" t="b">
        <f>ISNUMBER(SEARCH(Popayan_Cali!$F$7,Municipios!G978,1))</f>
        <v>0</v>
      </c>
      <c r="C976" s="1" t="b">
        <f>ISNUMBER(SEARCH($F$8,Municipios!G978,1))</f>
        <v>0</v>
      </c>
    </row>
    <row r="977" spans="1:3" x14ac:dyDescent="0.25">
      <c r="A977" s="1" t="b">
        <f>ISNUMBER(SEARCH(Popayan_Cali!$F$7,Municipios!G979,1))</f>
        <v>0</v>
      </c>
      <c r="C977" s="1" t="b">
        <f>ISNUMBER(SEARCH($F$8,Municipios!G979,1))</f>
        <v>0</v>
      </c>
    </row>
    <row r="978" spans="1:3" x14ac:dyDescent="0.25">
      <c r="A978" s="1" t="b">
        <f>ISNUMBER(SEARCH(Popayan_Cali!$F$7,Municipios!G980,1))</f>
        <v>0</v>
      </c>
      <c r="C978" s="1" t="b">
        <f>ISNUMBER(SEARCH($F$8,Municipios!G980,1))</f>
        <v>0</v>
      </c>
    </row>
    <row r="979" spans="1:3" x14ac:dyDescent="0.25">
      <c r="A979" s="1" t="b">
        <f>ISNUMBER(SEARCH(Popayan_Cali!$F$7,Municipios!G981,1))</f>
        <v>0</v>
      </c>
      <c r="C979" s="1" t="b">
        <f>ISNUMBER(SEARCH($F$8,Municipios!G981,1))</f>
        <v>0</v>
      </c>
    </row>
    <row r="980" spans="1:3" x14ac:dyDescent="0.25">
      <c r="A980" s="1" t="b">
        <f>ISNUMBER(SEARCH(Popayan_Cali!$F$7,Municipios!G982,1))</f>
        <v>0</v>
      </c>
      <c r="C980" s="1" t="b">
        <f>ISNUMBER(SEARCH($F$8,Municipios!G982,1))</f>
        <v>0</v>
      </c>
    </row>
    <row r="981" spans="1:3" x14ac:dyDescent="0.25">
      <c r="A981" s="1" t="b">
        <f>ISNUMBER(SEARCH(Popayan_Cali!$F$7,Municipios!G983,1))</f>
        <v>0</v>
      </c>
      <c r="C981" s="1" t="b">
        <f>ISNUMBER(SEARCH($F$8,Municipios!G983,1))</f>
        <v>0</v>
      </c>
    </row>
    <row r="982" spans="1:3" x14ac:dyDescent="0.25">
      <c r="A982" s="1" t="b">
        <f>ISNUMBER(SEARCH(Popayan_Cali!$F$7,Municipios!G984,1))</f>
        <v>0</v>
      </c>
      <c r="C982" s="1" t="b">
        <f>ISNUMBER(SEARCH($F$8,Municipios!G984,1))</f>
        <v>0</v>
      </c>
    </row>
    <row r="983" spans="1:3" x14ac:dyDescent="0.25">
      <c r="A983" s="1" t="b">
        <f>ISNUMBER(SEARCH(Popayan_Cali!$F$7,Municipios!G985,1))</f>
        <v>0</v>
      </c>
      <c r="C983" s="1" t="b">
        <f>ISNUMBER(SEARCH($F$8,Municipios!G985,1))</f>
        <v>0</v>
      </c>
    </row>
    <row r="984" spans="1:3" x14ac:dyDescent="0.25">
      <c r="A984" s="1" t="b">
        <f>ISNUMBER(SEARCH(Popayan_Cali!$F$7,Municipios!G986,1))</f>
        <v>0</v>
      </c>
      <c r="C984" s="1" t="b">
        <f>ISNUMBER(SEARCH($F$8,Municipios!G986,1))</f>
        <v>0</v>
      </c>
    </row>
    <row r="985" spans="1:3" x14ac:dyDescent="0.25">
      <c r="A985" s="1" t="b">
        <f>ISNUMBER(SEARCH(Popayan_Cali!$F$7,Municipios!G987,1))</f>
        <v>0</v>
      </c>
      <c r="C985" s="1" t="b">
        <f>ISNUMBER(SEARCH($F$8,Municipios!G987,1))</f>
        <v>0</v>
      </c>
    </row>
    <row r="986" spans="1:3" x14ac:dyDescent="0.25">
      <c r="A986" s="1" t="b">
        <f>ISNUMBER(SEARCH(Popayan_Cali!$F$7,Municipios!G988,1))</f>
        <v>0</v>
      </c>
      <c r="C986" s="1" t="b">
        <f>ISNUMBER(SEARCH($F$8,Municipios!G988,1))</f>
        <v>0</v>
      </c>
    </row>
    <row r="987" spans="1:3" x14ac:dyDescent="0.25">
      <c r="A987" s="1" t="b">
        <f>ISNUMBER(SEARCH(Popayan_Cali!$F$7,Municipios!G989,1))</f>
        <v>0</v>
      </c>
      <c r="C987" s="1" t="b">
        <f>ISNUMBER(SEARCH($F$8,Municipios!G989,1))</f>
        <v>0</v>
      </c>
    </row>
    <row r="988" spans="1:3" x14ac:dyDescent="0.25">
      <c r="A988" s="1" t="b">
        <f>ISNUMBER(SEARCH(Popayan_Cali!$F$7,Municipios!G990,1))</f>
        <v>0</v>
      </c>
      <c r="C988" s="1" t="b">
        <f>ISNUMBER(SEARCH($F$8,Municipios!G990,1))</f>
        <v>0</v>
      </c>
    </row>
    <row r="989" spans="1:3" x14ac:dyDescent="0.25">
      <c r="A989" s="1" t="b">
        <f>ISNUMBER(SEARCH(Popayan_Cali!$F$7,Municipios!G991,1))</f>
        <v>0</v>
      </c>
      <c r="C989" s="1" t="b">
        <f>ISNUMBER(SEARCH($F$8,Municipios!G991,1))</f>
        <v>0</v>
      </c>
    </row>
    <row r="990" spans="1:3" x14ac:dyDescent="0.25">
      <c r="A990" s="1" t="b">
        <f>ISNUMBER(SEARCH(Popayan_Cali!$F$7,Municipios!G992,1))</f>
        <v>0</v>
      </c>
      <c r="C990" s="1" t="b">
        <f>ISNUMBER(SEARCH($F$8,Municipios!G992,1))</f>
        <v>0</v>
      </c>
    </row>
    <row r="991" spans="1:3" x14ac:dyDescent="0.25">
      <c r="A991" s="1" t="b">
        <f>ISNUMBER(SEARCH(Popayan_Cali!$F$7,Municipios!G993,1))</f>
        <v>0</v>
      </c>
      <c r="C991" s="1" t="b">
        <f>ISNUMBER(SEARCH($F$8,Municipios!G993,1))</f>
        <v>0</v>
      </c>
    </row>
    <row r="992" spans="1:3" x14ac:dyDescent="0.25">
      <c r="A992" s="1" t="b">
        <f>ISNUMBER(SEARCH(Popayan_Cali!$F$7,Municipios!G994,1))</f>
        <v>0</v>
      </c>
      <c r="C992" s="1" t="b">
        <f>ISNUMBER(SEARCH($F$8,Municipios!G994,1))</f>
        <v>0</v>
      </c>
    </row>
    <row r="993" spans="1:3" x14ac:dyDescent="0.25">
      <c r="A993" s="1" t="b">
        <f>ISNUMBER(SEARCH(Popayan_Cali!$F$7,Municipios!G995,1))</f>
        <v>0</v>
      </c>
      <c r="C993" s="1" t="b">
        <f>ISNUMBER(SEARCH($F$8,Municipios!G995,1))</f>
        <v>0</v>
      </c>
    </row>
    <row r="994" spans="1:3" x14ac:dyDescent="0.25">
      <c r="A994" s="1" t="b">
        <f>ISNUMBER(SEARCH(Popayan_Cali!$F$7,Municipios!G996,1))</f>
        <v>0</v>
      </c>
      <c r="C994" s="1" t="b">
        <f>ISNUMBER(SEARCH($F$8,Municipios!G996,1))</f>
        <v>0</v>
      </c>
    </row>
    <row r="995" spans="1:3" x14ac:dyDescent="0.25">
      <c r="A995" s="1" t="b">
        <f>ISNUMBER(SEARCH(Popayan_Cali!$F$7,Municipios!G997,1))</f>
        <v>0</v>
      </c>
      <c r="C995" s="1" t="b">
        <f>ISNUMBER(SEARCH($F$8,Municipios!G997,1))</f>
        <v>0</v>
      </c>
    </row>
    <row r="996" spans="1:3" x14ac:dyDescent="0.25">
      <c r="A996" s="1" t="b">
        <f>ISNUMBER(SEARCH(Popayan_Cali!$F$7,Municipios!G998,1))</f>
        <v>0</v>
      </c>
      <c r="C996" s="1" t="b">
        <f>ISNUMBER(SEARCH($F$8,Municipios!G998,1))</f>
        <v>0</v>
      </c>
    </row>
    <row r="997" spans="1:3" x14ac:dyDescent="0.25">
      <c r="A997" s="1" t="b">
        <f>ISNUMBER(SEARCH(Popayan_Cali!$F$7,Municipios!G999,1))</f>
        <v>0</v>
      </c>
      <c r="C997" s="1" t="b">
        <f>ISNUMBER(SEARCH($F$8,Municipios!G999,1))</f>
        <v>0</v>
      </c>
    </row>
    <row r="998" spans="1:3" x14ac:dyDescent="0.25">
      <c r="A998" s="1" t="b">
        <f>ISNUMBER(SEARCH(Popayan_Cali!$F$7,Municipios!G1000,1))</f>
        <v>0</v>
      </c>
      <c r="C998" s="1" t="b">
        <f>ISNUMBER(SEARCH($F$8,Municipios!G1000,1))</f>
        <v>0</v>
      </c>
    </row>
    <row r="999" spans="1:3" x14ac:dyDescent="0.25">
      <c r="A999" s="1" t="b">
        <f>ISNUMBER(SEARCH(Popayan_Cali!$F$7,Municipios!G1001,1))</f>
        <v>0</v>
      </c>
      <c r="C999" s="1" t="b">
        <f>ISNUMBER(SEARCH($F$8,Municipios!G1001,1))</f>
        <v>0</v>
      </c>
    </row>
    <row r="1000" spans="1:3" x14ac:dyDescent="0.25">
      <c r="A1000" s="1" t="b">
        <f>ISNUMBER(SEARCH(Popayan_Cali!$F$7,Municipios!G1002,1))</f>
        <v>0</v>
      </c>
      <c r="C1000" s="1" t="b">
        <f>ISNUMBER(SEARCH($F$8,Municipios!G1002,1))</f>
        <v>0</v>
      </c>
    </row>
    <row r="1001" spans="1:3" x14ac:dyDescent="0.25">
      <c r="A1001" s="1" t="b">
        <f>ISNUMBER(SEARCH(Popayan_Cali!$F$7,Municipios!G1003,1))</f>
        <v>0</v>
      </c>
      <c r="C1001" s="1" t="b">
        <f>ISNUMBER(SEARCH($F$8,Municipios!G1003,1))</f>
        <v>0</v>
      </c>
    </row>
    <row r="1002" spans="1:3" x14ac:dyDescent="0.25">
      <c r="A1002" s="1" t="b">
        <f>ISNUMBER(SEARCH(Popayan_Cali!$F$7,Municipios!G1004,1))</f>
        <v>0</v>
      </c>
      <c r="C1002" s="1" t="b">
        <f>ISNUMBER(SEARCH($F$8,Municipios!G1004,1))</f>
        <v>0</v>
      </c>
    </row>
    <row r="1003" spans="1:3" x14ac:dyDescent="0.25">
      <c r="A1003" s="1" t="b">
        <f>ISNUMBER(SEARCH(Popayan_Cali!$F$7,Municipios!G1005,1))</f>
        <v>0</v>
      </c>
      <c r="C1003" s="1" t="b">
        <f>ISNUMBER(SEARCH($F$8,Municipios!G1005,1))</f>
        <v>0</v>
      </c>
    </row>
    <row r="1004" spans="1:3" x14ac:dyDescent="0.25">
      <c r="A1004" s="1" t="b">
        <f>ISNUMBER(SEARCH(Popayan_Cali!$F$7,Municipios!G1006,1))</f>
        <v>0</v>
      </c>
      <c r="C1004" s="1" t="b">
        <f>ISNUMBER(SEARCH($F$8,Municipios!G1006,1))</f>
        <v>0</v>
      </c>
    </row>
    <row r="1005" spans="1:3" x14ac:dyDescent="0.25">
      <c r="A1005" s="1" t="b">
        <f>ISNUMBER(SEARCH(Popayan_Cali!$F$7,Municipios!G1007,1))</f>
        <v>0</v>
      </c>
      <c r="C1005" s="1" t="b">
        <f>ISNUMBER(SEARCH($F$8,Municipios!G1007,1))</f>
        <v>0</v>
      </c>
    </row>
    <row r="1006" spans="1:3" x14ac:dyDescent="0.25">
      <c r="A1006" s="1" t="b">
        <f>ISNUMBER(SEARCH(Popayan_Cali!$F$7,Municipios!G1008,1))</f>
        <v>0</v>
      </c>
      <c r="C1006" s="1" t="b">
        <f>ISNUMBER(SEARCH($F$8,Municipios!G1008,1))</f>
        <v>0</v>
      </c>
    </row>
    <row r="1007" spans="1:3" x14ac:dyDescent="0.25">
      <c r="A1007" s="1" t="b">
        <f>ISNUMBER(SEARCH(Popayan_Cali!$F$7,Municipios!G1009,1))</f>
        <v>0</v>
      </c>
      <c r="C1007" s="1" t="b">
        <f>ISNUMBER(SEARCH($F$8,Municipios!G1009,1))</f>
        <v>0</v>
      </c>
    </row>
    <row r="1008" spans="1:3" x14ac:dyDescent="0.25">
      <c r="A1008" s="1" t="b">
        <f>ISNUMBER(SEARCH(Popayan_Cali!$F$7,Municipios!G1010,1))</f>
        <v>0</v>
      </c>
      <c r="C1008" s="1" t="b">
        <f>ISNUMBER(SEARCH($F$8,Municipios!G1010,1))</f>
        <v>0</v>
      </c>
    </row>
    <row r="1009" spans="1:3" x14ac:dyDescent="0.25">
      <c r="A1009" s="1" t="b">
        <f>ISNUMBER(SEARCH(Popayan_Cali!$F$7,Municipios!G1011,1))</f>
        <v>0</v>
      </c>
      <c r="C1009" s="1" t="b">
        <f>ISNUMBER(SEARCH($F$8,Municipios!G1011,1))</f>
        <v>0</v>
      </c>
    </row>
    <row r="1010" spans="1:3" x14ac:dyDescent="0.25">
      <c r="A1010" s="1" t="b">
        <f>ISNUMBER(SEARCH(Popayan_Cali!$F$7,Municipios!G1012,1))</f>
        <v>0</v>
      </c>
      <c r="C1010" s="1" t="b">
        <f>ISNUMBER(SEARCH($F$8,Municipios!G1012,1))</f>
        <v>0</v>
      </c>
    </row>
    <row r="1011" spans="1:3" x14ac:dyDescent="0.25">
      <c r="A1011" s="1" t="b">
        <f>ISNUMBER(SEARCH(Popayan_Cali!$F$7,Municipios!G1013,1))</f>
        <v>0</v>
      </c>
      <c r="C1011" s="1" t="b">
        <f>ISNUMBER(SEARCH($F$8,Municipios!G1013,1))</f>
        <v>0</v>
      </c>
    </row>
    <row r="1012" spans="1:3" x14ac:dyDescent="0.25">
      <c r="A1012" s="1" t="b">
        <f>ISNUMBER(SEARCH(Popayan_Cali!$F$7,Municipios!G1014,1))</f>
        <v>0</v>
      </c>
      <c r="C1012" s="1" t="b">
        <f>ISNUMBER(SEARCH($F$8,Municipios!G1014,1))</f>
        <v>0</v>
      </c>
    </row>
    <row r="1013" spans="1:3" x14ac:dyDescent="0.25">
      <c r="A1013" s="1" t="b">
        <f>ISNUMBER(SEARCH(Popayan_Cali!$F$7,Municipios!G1015,1))</f>
        <v>0</v>
      </c>
      <c r="C1013" s="1" t="b">
        <f>ISNUMBER(SEARCH($F$8,Municipios!G1015,1))</f>
        <v>0</v>
      </c>
    </row>
    <row r="1014" spans="1:3" x14ac:dyDescent="0.25">
      <c r="A1014" s="1" t="b">
        <f>ISNUMBER(SEARCH(Popayan_Cali!$F$7,Municipios!G1016,1))</f>
        <v>0</v>
      </c>
      <c r="C1014" s="1" t="b">
        <f>ISNUMBER(SEARCH($F$8,Municipios!G1016,1))</f>
        <v>0</v>
      </c>
    </row>
    <row r="1015" spans="1:3" x14ac:dyDescent="0.25">
      <c r="A1015" s="1" t="b">
        <f>ISNUMBER(SEARCH(Popayan_Cali!$F$7,Municipios!G1017,1))</f>
        <v>0</v>
      </c>
      <c r="C1015" s="1" t="b">
        <f>ISNUMBER(SEARCH($F$8,Municipios!G1017,1))</f>
        <v>0</v>
      </c>
    </row>
    <row r="1016" spans="1:3" x14ac:dyDescent="0.25">
      <c r="A1016" s="1" t="b">
        <f>ISNUMBER(SEARCH(Popayan_Cali!$F$7,Municipios!G1018,1))</f>
        <v>0</v>
      </c>
      <c r="C1016" s="1" t="b">
        <f>ISNUMBER(SEARCH($F$8,Municipios!G1018,1))</f>
        <v>0</v>
      </c>
    </row>
    <row r="1017" spans="1:3" x14ac:dyDescent="0.25">
      <c r="A1017" s="1" t="b">
        <f>ISNUMBER(SEARCH(Popayan_Cali!$F$7,Municipios!G1019,1))</f>
        <v>0</v>
      </c>
      <c r="C1017" s="1" t="b">
        <f>ISNUMBER(SEARCH($F$8,Municipios!G1019,1))</f>
        <v>0</v>
      </c>
    </row>
    <row r="1018" spans="1:3" x14ac:dyDescent="0.25">
      <c r="A1018" s="1" t="b">
        <f>ISNUMBER(SEARCH(Popayan_Cali!$F$7,Municipios!G1020,1))</f>
        <v>0</v>
      </c>
      <c r="C1018" s="1" t="b">
        <f>ISNUMBER(SEARCH($F$8,Municipios!G1020,1))</f>
        <v>0</v>
      </c>
    </row>
    <row r="1019" spans="1:3" x14ac:dyDescent="0.25">
      <c r="A1019" s="1" t="b">
        <f>ISNUMBER(SEARCH(Popayan_Cali!$F$7,Municipios!G1021,1))</f>
        <v>0</v>
      </c>
      <c r="C1019" s="1" t="b">
        <f>ISNUMBER(SEARCH($F$8,Municipios!G1021,1))</f>
        <v>0</v>
      </c>
    </row>
    <row r="1020" spans="1:3" x14ac:dyDescent="0.25">
      <c r="A1020" s="1" t="b">
        <f>ISNUMBER(SEARCH(Popayan_Cali!$F$7,Municipios!G1022,1))</f>
        <v>0</v>
      </c>
      <c r="C1020" s="1" t="b">
        <f>ISNUMBER(SEARCH($F$8,Municipios!G1022,1))</f>
        <v>0</v>
      </c>
    </row>
    <row r="1021" spans="1:3" x14ac:dyDescent="0.25">
      <c r="A1021" s="1" t="b">
        <f>ISNUMBER(SEARCH(Popayan_Cali!$F$7,Municipios!G1023,1))</f>
        <v>0</v>
      </c>
      <c r="C1021" s="1" t="b">
        <f>ISNUMBER(SEARCH($F$8,Municipios!G1023,1))</f>
        <v>0</v>
      </c>
    </row>
    <row r="1022" spans="1:3" x14ac:dyDescent="0.25">
      <c r="A1022" s="1" t="b">
        <f>ISNUMBER(SEARCH(Popayan_Cali!$F$7,Municipios!G1024,1))</f>
        <v>0</v>
      </c>
      <c r="C1022" s="1" t="b">
        <f>ISNUMBER(SEARCH($F$8,Municipios!G1024,1))</f>
        <v>0</v>
      </c>
    </row>
    <row r="1023" spans="1:3" x14ac:dyDescent="0.25">
      <c r="A1023" s="1" t="b">
        <f>ISNUMBER(SEARCH(Popayan_Cali!$F$7,Municipios!G1025,1))</f>
        <v>0</v>
      </c>
      <c r="C1023" s="1" t="b">
        <f>ISNUMBER(SEARCH($F$8,Municipios!G1025,1))</f>
        <v>0</v>
      </c>
    </row>
    <row r="1024" spans="1:3" x14ac:dyDescent="0.25">
      <c r="A1024" s="1" t="b">
        <f>ISNUMBER(SEARCH(Popayan_Cali!$F$7,Municipios!G1026,1))</f>
        <v>0</v>
      </c>
      <c r="C1024" s="1" t="b">
        <f>ISNUMBER(SEARCH($F$8,Municipios!G1026,1))</f>
        <v>0</v>
      </c>
    </row>
    <row r="1025" spans="1:3" x14ac:dyDescent="0.25">
      <c r="A1025" s="1" t="b">
        <f>ISNUMBER(SEARCH(Popayan_Cali!$F$7,Municipios!G1027,1))</f>
        <v>0</v>
      </c>
      <c r="C1025" s="1" t="b">
        <f>ISNUMBER(SEARCH($F$8,Municipios!G1027,1))</f>
        <v>0</v>
      </c>
    </row>
    <row r="1026" spans="1:3" x14ac:dyDescent="0.25">
      <c r="A1026" s="1" t="b">
        <f>ISNUMBER(SEARCH(Popayan_Cali!$F$7,Municipios!G1028,1))</f>
        <v>0</v>
      </c>
      <c r="C1026" s="1" t="b">
        <f>ISNUMBER(SEARCH($F$8,Municipios!G1028,1))</f>
        <v>0</v>
      </c>
    </row>
    <row r="1027" spans="1:3" x14ac:dyDescent="0.25">
      <c r="A1027" s="1" t="b">
        <f>ISNUMBER(SEARCH(Popayan_Cali!$F$7,Municipios!G1029,1))</f>
        <v>0</v>
      </c>
      <c r="C1027" s="1" t="b">
        <f>ISNUMBER(SEARCH($F$8,Municipios!G1029,1))</f>
        <v>0</v>
      </c>
    </row>
    <row r="1028" spans="1:3" x14ac:dyDescent="0.25">
      <c r="A1028" s="1" t="b">
        <f>ISNUMBER(SEARCH(Popayan_Cali!$F$7,Municipios!G1030,1))</f>
        <v>0</v>
      </c>
      <c r="C1028" s="1" t="b">
        <f>ISNUMBER(SEARCH($F$8,Municipios!G1030,1))</f>
        <v>0</v>
      </c>
    </row>
    <row r="1029" spans="1:3" x14ac:dyDescent="0.25">
      <c r="A1029" s="1" t="b">
        <f>ISNUMBER(SEARCH(Popayan_Cali!$F$7,Municipios!G1031,1))</f>
        <v>0</v>
      </c>
      <c r="C1029" s="1" t="b">
        <f>ISNUMBER(SEARCH($F$8,Municipios!G1031,1))</f>
        <v>0</v>
      </c>
    </row>
    <row r="1030" spans="1:3" x14ac:dyDescent="0.25">
      <c r="A1030" s="1" t="b">
        <f>ISNUMBER(SEARCH(Popayan_Cali!$F$7,Municipios!G1032,1))</f>
        <v>0</v>
      </c>
      <c r="C1030" s="1" t="b">
        <f>ISNUMBER(SEARCH($F$8,Municipios!G1032,1))</f>
        <v>0</v>
      </c>
    </row>
    <row r="1031" spans="1:3" x14ac:dyDescent="0.25">
      <c r="A1031" s="1" t="b">
        <f>ISNUMBER(SEARCH(Popayan_Cali!$F$7,Municipios!G1033,1))</f>
        <v>0</v>
      </c>
      <c r="C1031" s="1" t="b">
        <f>ISNUMBER(SEARCH($F$8,Municipios!G1033,1))</f>
        <v>0</v>
      </c>
    </row>
    <row r="1032" spans="1:3" x14ac:dyDescent="0.25">
      <c r="A1032" s="1" t="b">
        <f>ISNUMBER(SEARCH(Popayan_Cali!$F$7,Municipios!G1034,1))</f>
        <v>0</v>
      </c>
      <c r="C1032" s="1" t="b">
        <f>ISNUMBER(SEARCH($F$8,Municipios!G1034,1))</f>
        <v>0</v>
      </c>
    </row>
    <row r="1033" spans="1:3" x14ac:dyDescent="0.25">
      <c r="A1033" s="1" t="b">
        <f>ISNUMBER(SEARCH(Popayan_Cali!$F$7,Municipios!G1035,1))</f>
        <v>0</v>
      </c>
      <c r="C1033" s="1" t="b">
        <f>ISNUMBER(SEARCH($F$8,Municipios!G1035,1))</f>
        <v>0</v>
      </c>
    </row>
    <row r="1034" spans="1:3" x14ac:dyDescent="0.25">
      <c r="A1034" s="1" t="b">
        <f>ISNUMBER(SEARCH(Popayan_Cali!$F$7,Municipios!G1036,1))</f>
        <v>0</v>
      </c>
      <c r="C1034" s="1" t="b">
        <f>ISNUMBER(SEARCH($F$8,Municipios!G1036,1))</f>
        <v>0</v>
      </c>
    </row>
    <row r="1035" spans="1:3" x14ac:dyDescent="0.25">
      <c r="A1035" s="1" t="b">
        <f>ISNUMBER(SEARCH(Popayan_Cali!$F$7,Municipios!G1037,1))</f>
        <v>0</v>
      </c>
      <c r="C1035" s="1" t="b">
        <f>ISNUMBER(SEARCH($F$8,Municipios!G1037,1))</f>
        <v>0</v>
      </c>
    </row>
    <row r="1036" spans="1:3" x14ac:dyDescent="0.25">
      <c r="A1036" s="1" t="b">
        <f>ISNUMBER(SEARCH(Popayan_Cali!$F$7,Municipios!G1038,1))</f>
        <v>0</v>
      </c>
      <c r="C1036" s="1" t="b">
        <f>ISNUMBER(SEARCH($F$8,Municipios!G1038,1))</f>
        <v>0</v>
      </c>
    </row>
    <row r="1037" spans="1:3" x14ac:dyDescent="0.25">
      <c r="A1037" s="1" t="b">
        <f>ISNUMBER(SEARCH(Popayan_Cali!$F$7,Municipios!G1039,1))</f>
        <v>0</v>
      </c>
      <c r="C1037" s="1" t="b">
        <f>ISNUMBER(SEARCH($F$8,Municipios!G1039,1))</f>
        <v>0</v>
      </c>
    </row>
    <row r="1038" spans="1:3" x14ac:dyDescent="0.25">
      <c r="A1038" s="1" t="b">
        <f>ISNUMBER(SEARCH(Popayan_Cali!$F$7,Municipios!G1040,1))</f>
        <v>0</v>
      </c>
      <c r="C1038" s="1" t="b">
        <f>ISNUMBER(SEARCH($F$8,Municipios!G1040,1))</f>
        <v>0</v>
      </c>
    </row>
    <row r="1039" spans="1:3" x14ac:dyDescent="0.25">
      <c r="A1039" s="1" t="b">
        <f>ISNUMBER(SEARCH(Popayan_Cali!$F$7,Municipios!G1041,1))</f>
        <v>0</v>
      </c>
      <c r="C1039" s="1" t="b">
        <f>ISNUMBER(SEARCH($F$8,Municipios!G1041,1))</f>
        <v>0</v>
      </c>
    </row>
    <row r="1040" spans="1:3" x14ac:dyDescent="0.25">
      <c r="A1040" s="1" t="b">
        <f>ISNUMBER(SEARCH(Popayan_Cali!$F$7,Municipios!G1042,1))</f>
        <v>0</v>
      </c>
      <c r="C1040" s="1" t="b">
        <f>ISNUMBER(SEARCH($F$8,Municipios!G1042,1))</f>
        <v>0</v>
      </c>
    </row>
    <row r="1041" spans="1:3" x14ac:dyDescent="0.25">
      <c r="A1041" s="1" t="b">
        <f>ISNUMBER(SEARCH(Popayan_Cali!$F$7,Municipios!G1043,1))</f>
        <v>0</v>
      </c>
      <c r="C1041" s="1" t="b">
        <f>ISNUMBER(SEARCH($F$8,Municipios!G1043,1))</f>
        <v>0</v>
      </c>
    </row>
    <row r="1042" spans="1:3" x14ac:dyDescent="0.25">
      <c r="A1042" s="1" t="b">
        <f>ISNUMBER(SEARCH(Popayan_Cali!$F$7,Municipios!G1044,1))</f>
        <v>0</v>
      </c>
      <c r="C1042" s="1" t="b">
        <f>ISNUMBER(SEARCH($F$8,Municipios!G1044,1))</f>
        <v>0</v>
      </c>
    </row>
    <row r="1043" spans="1:3" x14ac:dyDescent="0.25">
      <c r="A1043" s="1" t="b">
        <f>ISNUMBER(SEARCH(Popayan_Cali!$F$7,Municipios!G1045,1))</f>
        <v>0</v>
      </c>
      <c r="C1043" s="1" t="b">
        <f>ISNUMBER(SEARCH($F$8,Municipios!G1045,1))</f>
        <v>0</v>
      </c>
    </row>
    <row r="1044" spans="1:3" x14ac:dyDescent="0.25">
      <c r="A1044" s="1" t="b">
        <f>ISNUMBER(SEARCH(Popayan_Cali!$F$7,Municipios!G1046,1))</f>
        <v>0</v>
      </c>
      <c r="C1044" s="1" t="b">
        <f>ISNUMBER(SEARCH($F$8,Municipios!G1046,1))</f>
        <v>0</v>
      </c>
    </row>
    <row r="1045" spans="1:3" x14ac:dyDescent="0.25">
      <c r="A1045" s="1" t="b">
        <f>ISNUMBER(SEARCH(Popayan_Cali!$F$7,Municipios!G1047,1))</f>
        <v>0</v>
      </c>
      <c r="C1045" s="1" t="b">
        <f>ISNUMBER(SEARCH($F$8,Municipios!G1047,1))</f>
        <v>0</v>
      </c>
    </row>
    <row r="1046" spans="1:3" x14ac:dyDescent="0.25">
      <c r="A1046" s="1" t="b">
        <f>ISNUMBER(SEARCH(Popayan_Cali!$F$7,Municipios!G1048,1))</f>
        <v>0</v>
      </c>
      <c r="C1046" s="1" t="b">
        <f>ISNUMBER(SEARCH($F$8,Municipios!G1048,1))</f>
        <v>0</v>
      </c>
    </row>
    <row r="1047" spans="1:3" x14ac:dyDescent="0.25">
      <c r="A1047" s="1" t="b">
        <f>ISNUMBER(SEARCH(Popayan_Cali!$F$7,Municipios!G1049,1))</f>
        <v>0</v>
      </c>
      <c r="C1047" s="1" t="b">
        <f>ISNUMBER(SEARCH($F$8,Municipios!G1049,1))</f>
        <v>0</v>
      </c>
    </row>
    <row r="1048" spans="1:3" x14ac:dyDescent="0.25">
      <c r="A1048" s="1" t="b">
        <f>ISNUMBER(SEARCH(Popayan_Cali!$F$7,Municipios!G1050,1))</f>
        <v>0</v>
      </c>
      <c r="C1048" s="1" t="b">
        <f>ISNUMBER(SEARCH($F$8,Municipios!G1050,1))</f>
        <v>0</v>
      </c>
    </row>
    <row r="1049" spans="1:3" x14ac:dyDescent="0.25">
      <c r="A1049" s="1" t="b">
        <f>ISNUMBER(SEARCH(Popayan_Cali!$F$7,Municipios!G1051,1))</f>
        <v>0</v>
      </c>
      <c r="C1049" s="1" t="b">
        <f>ISNUMBER(SEARCH($F$8,Municipios!G1051,1))</f>
        <v>0</v>
      </c>
    </row>
    <row r="1050" spans="1:3" x14ac:dyDescent="0.25">
      <c r="A1050" s="1" t="b">
        <f>ISNUMBER(SEARCH(Popayan_Cali!$F$7,Municipios!G1052,1))</f>
        <v>0</v>
      </c>
      <c r="C1050" s="1" t="b">
        <f>ISNUMBER(SEARCH($F$8,Municipios!G1052,1))</f>
        <v>0</v>
      </c>
    </row>
    <row r="1051" spans="1:3" x14ac:dyDescent="0.25">
      <c r="A1051" s="1" t="b">
        <f>ISNUMBER(SEARCH(Popayan_Cali!$F$7,Municipios!G1053,1))</f>
        <v>0</v>
      </c>
      <c r="C1051" s="1" t="b">
        <f>ISNUMBER(SEARCH($F$8,Municipios!G1053,1))</f>
        <v>0</v>
      </c>
    </row>
    <row r="1052" spans="1:3" x14ac:dyDescent="0.25">
      <c r="A1052" s="1" t="b">
        <f>ISNUMBER(SEARCH(Popayan_Cali!$F$7,Municipios!G1054,1))</f>
        <v>0</v>
      </c>
      <c r="C1052" s="1" t="b">
        <f>ISNUMBER(SEARCH($F$8,Municipios!G1054,1))</f>
        <v>0</v>
      </c>
    </row>
    <row r="1053" spans="1:3" x14ac:dyDescent="0.25">
      <c r="A1053" s="1" t="b">
        <f>ISNUMBER(SEARCH(Popayan_Cali!$F$7,Municipios!G1055,1))</f>
        <v>0</v>
      </c>
      <c r="C1053" s="1" t="b">
        <f>ISNUMBER(SEARCH($F$8,Municipios!G1055,1))</f>
        <v>0</v>
      </c>
    </row>
    <row r="1054" spans="1:3" x14ac:dyDescent="0.25">
      <c r="A1054" s="1" t="b">
        <f>ISNUMBER(SEARCH(Popayan_Cali!$F$7,Municipios!G1056,1))</f>
        <v>0</v>
      </c>
      <c r="C1054" s="1" t="b">
        <f>ISNUMBER(SEARCH($F$8,Municipios!G1056,1))</f>
        <v>0</v>
      </c>
    </row>
    <row r="1055" spans="1:3" x14ac:dyDescent="0.25">
      <c r="A1055" s="1" t="b">
        <f>ISNUMBER(SEARCH(Popayan_Cali!$F$7,Municipios!G1057,1))</f>
        <v>0</v>
      </c>
      <c r="C1055" s="1" t="b">
        <f>ISNUMBER(SEARCH($F$8,Municipios!G1057,1))</f>
        <v>0</v>
      </c>
    </row>
    <row r="1056" spans="1:3" x14ac:dyDescent="0.25">
      <c r="A1056" s="1" t="b">
        <f>ISNUMBER(SEARCH(Popayan_Cali!$F$7,Municipios!G1058,1))</f>
        <v>0</v>
      </c>
      <c r="C1056" s="1" t="b">
        <f>ISNUMBER(SEARCH($F$8,Municipios!G1058,1))</f>
        <v>0</v>
      </c>
    </row>
    <row r="1057" spans="1:3" x14ac:dyDescent="0.25">
      <c r="A1057" s="1" t="b">
        <f>ISNUMBER(SEARCH(Popayan_Cali!$F$7,Municipios!G1059,1))</f>
        <v>0</v>
      </c>
      <c r="C1057" s="1" t="b">
        <f>ISNUMBER(SEARCH($F$8,Municipios!G1059,1))</f>
        <v>0</v>
      </c>
    </row>
    <row r="1058" spans="1:3" x14ac:dyDescent="0.25">
      <c r="A1058" s="1" t="b">
        <f>ISNUMBER(SEARCH(Popayan_Cali!$F$7,Municipios!G1060,1))</f>
        <v>0</v>
      </c>
      <c r="C1058" s="1" t="b">
        <f>ISNUMBER(SEARCH($F$8,Municipios!G1060,1))</f>
        <v>0</v>
      </c>
    </row>
    <row r="1059" spans="1:3" x14ac:dyDescent="0.25">
      <c r="A1059" s="1" t="b">
        <f>ISNUMBER(SEARCH(Popayan_Cali!$F$7,Municipios!G1061,1))</f>
        <v>0</v>
      </c>
      <c r="C1059" s="1" t="b">
        <f>ISNUMBER(SEARCH($F$8,Municipios!G1061,1))</f>
        <v>0</v>
      </c>
    </row>
    <row r="1060" spans="1:3" x14ac:dyDescent="0.25">
      <c r="A1060" s="1" t="b">
        <f>ISNUMBER(SEARCH(Popayan_Cali!$F$7,Municipios!G1062,1))</f>
        <v>0</v>
      </c>
      <c r="C1060" s="1" t="b">
        <f>ISNUMBER(SEARCH($F$8,Municipios!G1062,1))</f>
        <v>0</v>
      </c>
    </row>
    <row r="1061" spans="1:3" x14ac:dyDescent="0.25">
      <c r="A1061" s="1" t="b">
        <f>ISNUMBER(SEARCH(Popayan_Cali!$F$7,Municipios!G1063,1))</f>
        <v>0</v>
      </c>
      <c r="C1061" s="1" t="b">
        <f>ISNUMBER(SEARCH($F$8,Municipios!G1063,1))</f>
        <v>0</v>
      </c>
    </row>
    <row r="1062" spans="1:3" x14ac:dyDescent="0.25">
      <c r="A1062" s="1" t="b">
        <f>ISNUMBER(SEARCH(Popayan_Cali!$F$7,Municipios!G1064,1))</f>
        <v>0</v>
      </c>
      <c r="C1062" s="1" t="b">
        <f>ISNUMBER(SEARCH($F$8,Municipios!G1064,1))</f>
        <v>0</v>
      </c>
    </row>
    <row r="1063" spans="1:3" x14ac:dyDescent="0.25">
      <c r="A1063" s="1" t="b">
        <f>ISNUMBER(SEARCH(Popayan_Cali!$F$7,Municipios!G1065,1))</f>
        <v>0</v>
      </c>
      <c r="C1063" s="1" t="b">
        <f>ISNUMBER(SEARCH($F$8,Municipios!G1065,1))</f>
        <v>0</v>
      </c>
    </row>
    <row r="1064" spans="1:3" x14ac:dyDescent="0.25">
      <c r="A1064" s="1" t="b">
        <f>ISNUMBER(SEARCH(Popayan_Cali!$F$7,Municipios!G1066,1))</f>
        <v>0</v>
      </c>
      <c r="C1064" s="1" t="b">
        <f>ISNUMBER(SEARCH($F$8,Municipios!G1066,1))</f>
        <v>0</v>
      </c>
    </row>
    <row r="1065" spans="1:3" x14ac:dyDescent="0.25">
      <c r="A1065" s="1" t="b">
        <f>ISNUMBER(SEARCH(Popayan_Cali!$F$7,Municipios!G1067,1))</f>
        <v>0</v>
      </c>
      <c r="C1065" s="1" t="b">
        <f>ISNUMBER(SEARCH($F$8,Municipios!G1067,1))</f>
        <v>0</v>
      </c>
    </row>
    <row r="1066" spans="1:3" x14ac:dyDescent="0.25">
      <c r="A1066" s="1" t="b">
        <f>ISNUMBER(SEARCH(Popayan_Cali!$F$7,Municipios!G1068,1))</f>
        <v>0</v>
      </c>
      <c r="C1066" s="1" t="b">
        <f>ISNUMBER(SEARCH($F$8,Municipios!G1068,1))</f>
        <v>0</v>
      </c>
    </row>
    <row r="1067" spans="1:3" x14ac:dyDescent="0.25">
      <c r="A1067" s="1" t="b">
        <f>ISNUMBER(SEARCH(Popayan_Cali!$F$7,Municipios!G1069,1))</f>
        <v>0</v>
      </c>
      <c r="C1067" s="1" t="b">
        <f>ISNUMBER(SEARCH($F$8,Municipios!G1069,1))</f>
        <v>0</v>
      </c>
    </row>
    <row r="1068" spans="1:3" x14ac:dyDescent="0.25">
      <c r="A1068" s="1" t="b">
        <f>ISNUMBER(SEARCH(Popayan_Cali!$F$7,Municipios!G1070,1))</f>
        <v>0</v>
      </c>
      <c r="C1068" s="1" t="b">
        <f>ISNUMBER(SEARCH($F$8,Municipios!G1070,1))</f>
        <v>0</v>
      </c>
    </row>
    <row r="1069" spans="1:3" x14ac:dyDescent="0.25">
      <c r="A1069" s="1" t="b">
        <f>ISNUMBER(SEARCH(Popayan_Cali!$F$7,Municipios!G1071,1))</f>
        <v>0</v>
      </c>
      <c r="C1069" s="1" t="b">
        <f>ISNUMBER(SEARCH($F$8,Municipios!G1071,1))</f>
        <v>0</v>
      </c>
    </row>
    <row r="1070" spans="1:3" x14ac:dyDescent="0.25">
      <c r="A1070" s="1" t="b">
        <f>ISNUMBER(SEARCH(Popayan_Cali!$F$7,Municipios!G1072,1))</f>
        <v>0</v>
      </c>
      <c r="C1070" s="1" t="b">
        <f>ISNUMBER(SEARCH($F$8,Municipios!G1072,1))</f>
        <v>0</v>
      </c>
    </row>
    <row r="1071" spans="1:3" x14ac:dyDescent="0.25">
      <c r="A1071" s="1" t="b">
        <f>ISNUMBER(SEARCH(Popayan_Cali!$F$7,Municipios!G1073,1))</f>
        <v>0</v>
      </c>
      <c r="C1071" s="1" t="b">
        <f>ISNUMBER(SEARCH($F$8,Municipios!G1073,1))</f>
        <v>0</v>
      </c>
    </row>
    <row r="1072" spans="1:3" x14ac:dyDescent="0.25">
      <c r="A1072" s="1" t="b">
        <f>ISNUMBER(SEARCH(Popayan_Cali!$F$7,Municipios!G1074,1))</f>
        <v>0</v>
      </c>
      <c r="C1072" s="1" t="b">
        <f>ISNUMBER(SEARCH($F$8,Municipios!G1074,1))</f>
        <v>0</v>
      </c>
    </row>
    <row r="1073" spans="1:3" x14ac:dyDescent="0.25">
      <c r="A1073" s="1" t="b">
        <f>ISNUMBER(SEARCH(Popayan_Cali!$F$7,Municipios!G1075,1))</f>
        <v>0</v>
      </c>
      <c r="C1073" s="1" t="b">
        <f>ISNUMBER(SEARCH($F$8,Municipios!G1075,1))</f>
        <v>0</v>
      </c>
    </row>
    <row r="1074" spans="1:3" x14ac:dyDescent="0.25">
      <c r="A1074" s="1" t="b">
        <f>ISNUMBER(SEARCH(Popayan_Cali!$F$7,Municipios!G1076,1))</f>
        <v>0</v>
      </c>
      <c r="C1074" s="1" t="b">
        <f>ISNUMBER(SEARCH($F$8,Municipios!G1076,1))</f>
        <v>0</v>
      </c>
    </row>
    <row r="1075" spans="1:3" x14ac:dyDescent="0.25">
      <c r="A1075" s="1" t="b">
        <f>ISNUMBER(SEARCH(Popayan_Cali!$F$7,Municipios!G1077,1))</f>
        <v>0</v>
      </c>
      <c r="C1075" s="1" t="b">
        <f>ISNUMBER(SEARCH($F$8,Municipios!G1077,1))</f>
        <v>0</v>
      </c>
    </row>
    <row r="1076" spans="1:3" x14ac:dyDescent="0.25">
      <c r="A1076" s="1" t="b">
        <f>ISNUMBER(SEARCH(Popayan_Cali!$F$7,Municipios!G1078,1))</f>
        <v>0</v>
      </c>
      <c r="C1076" s="1" t="b">
        <f>ISNUMBER(SEARCH($F$8,Municipios!G1078,1))</f>
        <v>0</v>
      </c>
    </row>
    <row r="1077" spans="1:3" x14ac:dyDescent="0.25">
      <c r="A1077" s="1" t="b">
        <f>ISNUMBER(SEARCH(Popayan_Cali!$F$7,Municipios!G1079,1))</f>
        <v>0</v>
      </c>
      <c r="C1077" s="1" t="b">
        <f>ISNUMBER(SEARCH($F$8,Municipios!G1079,1))</f>
        <v>0</v>
      </c>
    </row>
    <row r="1078" spans="1:3" x14ac:dyDescent="0.25">
      <c r="A1078" s="1" t="b">
        <f>ISNUMBER(SEARCH(Popayan_Cali!$F$7,Municipios!G1080,1))</f>
        <v>0</v>
      </c>
      <c r="C1078" s="1" t="b">
        <f>ISNUMBER(SEARCH($F$8,Municipios!G1080,1))</f>
        <v>0</v>
      </c>
    </row>
    <row r="1079" spans="1:3" x14ac:dyDescent="0.25">
      <c r="A1079" s="1" t="b">
        <f>ISNUMBER(SEARCH(Popayan_Cali!$F$7,Municipios!G1081,1))</f>
        <v>0</v>
      </c>
      <c r="C1079" s="1" t="b">
        <f>ISNUMBER(SEARCH($F$8,Municipios!G1081,1))</f>
        <v>0</v>
      </c>
    </row>
    <row r="1080" spans="1:3" x14ac:dyDescent="0.25">
      <c r="A1080" s="1" t="b">
        <f>ISNUMBER(SEARCH(Popayan_Cali!$F$7,Municipios!G1082,1))</f>
        <v>0</v>
      </c>
      <c r="C1080" s="1" t="b">
        <f>ISNUMBER(SEARCH($F$8,Municipios!G1082,1))</f>
        <v>0</v>
      </c>
    </row>
    <row r="1081" spans="1:3" x14ac:dyDescent="0.25">
      <c r="A1081" s="1" t="b">
        <f>ISNUMBER(SEARCH(Popayan_Cali!$F$7,Municipios!G1083,1))</f>
        <v>0</v>
      </c>
      <c r="C1081" s="1" t="b">
        <f>ISNUMBER(SEARCH($F$8,Municipios!G1083,1))</f>
        <v>0</v>
      </c>
    </row>
    <row r="1082" spans="1:3" x14ac:dyDescent="0.25">
      <c r="A1082" s="1" t="b">
        <f>ISNUMBER(SEARCH(Popayan_Cali!$F$7,Municipios!G1084,1))</f>
        <v>0</v>
      </c>
      <c r="C1082" s="1" t="b">
        <f>ISNUMBER(SEARCH($F$8,Municipios!G1084,1))</f>
        <v>0</v>
      </c>
    </row>
    <row r="1083" spans="1:3" x14ac:dyDescent="0.25">
      <c r="A1083" s="1" t="b">
        <f>ISNUMBER(SEARCH(Popayan_Cali!$F$7,Municipios!G1085,1))</f>
        <v>0</v>
      </c>
      <c r="C1083" s="1" t="b">
        <f>ISNUMBER(SEARCH($F$8,Municipios!G1085,1))</f>
        <v>0</v>
      </c>
    </row>
    <row r="1084" spans="1:3" x14ac:dyDescent="0.25">
      <c r="A1084" s="1" t="b">
        <f>ISNUMBER(SEARCH(Popayan_Cali!$F$7,Municipios!G1086,1))</f>
        <v>0</v>
      </c>
      <c r="C1084" s="1" t="b">
        <f>ISNUMBER(SEARCH($F$8,Municipios!G1086,1))</f>
        <v>0</v>
      </c>
    </row>
    <row r="1085" spans="1:3" x14ac:dyDescent="0.25">
      <c r="A1085" s="1" t="b">
        <f>ISNUMBER(SEARCH(Popayan_Cali!$F$7,Municipios!G1087,1))</f>
        <v>0</v>
      </c>
      <c r="C1085" s="1" t="b">
        <f>ISNUMBER(SEARCH($F$8,Municipios!G1087,1))</f>
        <v>0</v>
      </c>
    </row>
    <row r="1086" spans="1:3" x14ac:dyDescent="0.25">
      <c r="A1086" s="1" t="b">
        <f>ISNUMBER(SEARCH(Popayan_Cali!$F$7,Municipios!G1088,1))</f>
        <v>0</v>
      </c>
      <c r="C1086" s="1" t="b">
        <f>ISNUMBER(SEARCH($F$8,Municipios!G1088,1))</f>
        <v>0</v>
      </c>
    </row>
    <row r="1087" spans="1:3" x14ac:dyDescent="0.25">
      <c r="A1087" s="1" t="b">
        <f>ISNUMBER(SEARCH(Popayan_Cali!$F$7,Municipios!G1089,1))</f>
        <v>0</v>
      </c>
      <c r="C1087" s="1" t="b">
        <f>ISNUMBER(SEARCH($F$8,Municipios!G1089,1))</f>
        <v>0</v>
      </c>
    </row>
    <row r="1088" spans="1:3" x14ac:dyDescent="0.25">
      <c r="A1088" s="1" t="b">
        <f>ISNUMBER(SEARCH(Popayan_Cali!$F$7,Municipios!G1090,1))</f>
        <v>0</v>
      </c>
      <c r="C1088" s="1" t="b">
        <f>ISNUMBER(SEARCH($F$8,Municipios!G1090,1))</f>
        <v>0</v>
      </c>
    </row>
    <row r="1089" spans="1:3" x14ac:dyDescent="0.25">
      <c r="A1089" s="1" t="b">
        <f>ISNUMBER(SEARCH(Popayan_Cali!$F$7,Municipios!G1091,1))</f>
        <v>0</v>
      </c>
      <c r="C1089" s="1" t="b">
        <f>ISNUMBER(SEARCH($F$8,Municipios!G1091,1))</f>
        <v>0</v>
      </c>
    </row>
    <row r="1090" spans="1:3" x14ac:dyDescent="0.25">
      <c r="A1090" s="1" t="b">
        <f>ISNUMBER(SEARCH(Popayan_Cali!$F$7,Municipios!G1092,1))</f>
        <v>0</v>
      </c>
      <c r="C1090" s="1" t="b">
        <f>ISNUMBER(SEARCH($F$8,Municipios!G1092,1))</f>
        <v>0</v>
      </c>
    </row>
    <row r="1091" spans="1:3" x14ac:dyDescent="0.25">
      <c r="A1091" s="1" t="b">
        <f>ISNUMBER(SEARCH(Popayan_Cali!$F$7,Municipios!G1093,1))</f>
        <v>0</v>
      </c>
      <c r="C1091" s="1" t="b">
        <f>ISNUMBER(SEARCH($F$8,Municipios!G1093,1))</f>
        <v>0</v>
      </c>
    </row>
    <row r="1092" spans="1:3" x14ac:dyDescent="0.25">
      <c r="A1092" s="1" t="b">
        <f>ISNUMBER(SEARCH(Popayan_Cali!$F$7,Municipios!G1094,1))</f>
        <v>0</v>
      </c>
      <c r="C1092" s="1" t="b">
        <f>ISNUMBER(SEARCH($F$8,Municipios!G1094,1))</f>
        <v>0</v>
      </c>
    </row>
    <row r="1093" spans="1:3" x14ac:dyDescent="0.25">
      <c r="A1093" s="1" t="b">
        <f>ISNUMBER(SEARCH(Popayan_Cali!$F$7,Municipios!G1095,1))</f>
        <v>0</v>
      </c>
      <c r="C1093" s="1" t="b">
        <f>ISNUMBER(SEARCH($F$8,Municipios!G1095,1))</f>
        <v>0</v>
      </c>
    </row>
    <row r="1094" spans="1:3" x14ac:dyDescent="0.25">
      <c r="A1094" s="1" t="b">
        <f>ISNUMBER(SEARCH(Popayan_Cali!$F$7,Municipios!G1096,1))</f>
        <v>0</v>
      </c>
      <c r="C1094" s="1" t="b">
        <f>ISNUMBER(SEARCH($F$8,Municipios!G1096,1))</f>
        <v>0</v>
      </c>
    </row>
    <row r="1095" spans="1:3" x14ac:dyDescent="0.25">
      <c r="A1095" s="1" t="b">
        <f>ISNUMBER(SEARCH(Popayan_Cali!$F$7,Municipios!G1097,1))</f>
        <v>0</v>
      </c>
      <c r="C1095" s="1" t="b">
        <f>ISNUMBER(SEARCH($F$8,Municipios!G1097,1))</f>
        <v>0</v>
      </c>
    </row>
    <row r="1096" spans="1:3" x14ac:dyDescent="0.25">
      <c r="A1096" s="1" t="b">
        <f>ISNUMBER(SEARCH(Popayan_Cali!$F$7,Municipios!G1098,1))</f>
        <v>0</v>
      </c>
      <c r="C1096" s="1" t="b">
        <f>ISNUMBER(SEARCH($F$8,Municipios!G1098,1))</f>
        <v>0</v>
      </c>
    </row>
    <row r="1097" spans="1:3" x14ac:dyDescent="0.25">
      <c r="A1097" s="1" t="b">
        <f>ISNUMBER(SEARCH(Popayan_Cali!$F$7,Municipios!G1099,1))</f>
        <v>0</v>
      </c>
      <c r="C1097" s="1" t="b">
        <f>ISNUMBER(SEARCH($F$8,Municipios!G1099,1))</f>
        <v>0</v>
      </c>
    </row>
    <row r="1098" spans="1:3" x14ac:dyDescent="0.25">
      <c r="A1098" s="1" t="b">
        <f>ISNUMBER(SEARCH(Popayan_Cali!$F$7,Municipios!G1100,1))</f>
        <v>0</v>
      </c>
      <c r="C1098" s="1" t="b">
        <f>ISNUMBER(SEARCH($F$8,Municipios!G1100,1))</f>
        <v>0</v>
      </c>
    </row>
    <row r="1099" spans="1:3" x14ac:dyDescent="0.25">
      <c r="A1099" s="1" t="b">
        <f>ISNUMBER(SEARCH(Popayan_Cali!$F$7,Municipios!G1101,1))</f>
        <v>0</v>
      </c>
      <c r="C1099" s="1" t="b">
        <f>ISNUMBER(SEARCH($F$8,Municipios!G1101,1))</f>
        <v>0</v>
      </c>
    </row>
    <row r="1100" spans="1:3" x14ac:dyDescent="0.25">
      <c r="A1100" s="1" t="b">
        <f>ISNUMBER(SEARCH(Popayan_Cali!$F$7,Municipios!G1102,1))</f>
        <v>0</v>
      </c>
      <c r="C1100" s="1" t="b">
        <f>ISNUMBER(SEARCH($F$8,Municipios!G1102,1))</f>
        <v>0</v>
      </c>
    </row>
    <row r="1101" spans="1:3" x14ac:dyDescent="0.25">
      <c r="A1101" s="1" t="b">
        <f>ISNUMBER(SEARCH(Popayan_Cali!$F$7,Municipios!G1103,1))</f>
        <v>0</v>
      </c>
      <c r="C1101" s="1" t="b">
        <f>ISNUMBER(SEARCH($F$8,Municipios!G1103,1))</f>
        <v>0</v>
      </c>
    </row>
    <row r="1102" spans="1:3" x14ac:dyDescent="0.25">
      <c r="A1102" s="1" t="b">
        <f>ISNUMBER(SEARCH(Popayan_Cali!$F$7,Municipios!G1104,1))</f>
        <v>0</v>
      </c>
      <c r="C1102" s="1" t="b">
        <f>ISNUMBER(SEARCH($F$8,Municipios!G1104,1))</f>
        <v>0</v>
      </c>
    </row>
    <row r="1103" spans="1:3" x14ac:dyDescent="0.25">
      <c r="A1103" s="1" t="b">
        <f>ISNUMBER(SEARCH(Popayan_Cali!$F$7,Municipios!G1105,1))</f>
        <v>0</v>
      </c>
      <c r="C1103" s="1" t="b">
        <f>ISNUMBER(SEARCH($F$8,Municipios!G1105,1))</f>
        <v>0</v>
      </c>
    </row>
    <row r="1104" spans="1:3" x14ac:dyDescent="0.25">
      <c r="A1104" s="1" t="b">
        <f>ISNUMBER(SEARCH(Popayan_Cali!$F$7,Municipios!G1106,1))</f>
        <v>0</v>
      </c>
      <c r="C1104" s="1" t="b">
        <f>ISNUMBER(SEARCH($F$8,Municipios!G1106,1))</f>
        <v>0</v>
      </c>
    </row>
    <row r="1105" spans="1:3" x14ac:dyDescent="0.25">
      <c r="A1105" s="1" t="b">
        <f>ISNUMBER(SEARCH(Popayan_Cali!$F$7,Municipios!G1107,1))</f>
        <v>0</v>
      </c>
      <c r="C1105" s="1" t="b">
        <f>ISNUMBER(SEARCH($F$8,Municipios!G1107,1))</f>
        <v>0</v>
      </c>
    </row>
    <row r="1106" spans="1:3" x14ac:dyDescent="0.25">
      <c r="A1106" s="1" t="b">
        <f>ISNUMBER(SEARCH(Popayan_Cali!$F$7,Municipios!G1108,1))</f>
        <v>0</v>
      </c>
      <c r="C1106" s="1" t="b">
        <f>ISNUMBER(SEARCH($F$8,Municipios!G1108,1))</f>
        <v>0</v>
      </c>
    </row>
    <row r="1107" spans="1:3" x14ac:dyDescent="0.25">
      <c r="A1107" s="1" t="b">
        <f>ISNUMBER(SEARCH(Popayan_Cali!$F$7,Municipios!G1109,1))</f>
        <v>0</v>
      </c>
      <c r="C1107" s="1" t="b">
        <f>ISNUMBER(SEARCH($F$8,Municipios!G1109,1))</f>
        <v>0</v>
      </c>
    </row>
    <row r="1108" spans="1:3" x14ac:dyDescent="0.25">
      <c r="A1108" s="1" t="b">
        <f>ISNUMBER(SEARCH(Popayan_Cali!$F$7,Municipios!G1110,1))</f>
        <v>0</v>
      </c>
      <c r="C1108" s="1" t="b">
        <f>ISNUMBER(SEARCH($F$8,Municipios!G1110,1))</f>
        <v>0</v>
      </c>
    </row>
    <row r="1109" spans="1:3" x14ac:dyDescent="0.25">
      <c r="A1109" s="1" t="b">
        <f>ISNUMBER(SEARCH(Popayan_Cali!$F$7,Municipios!G1111,1))</f>
        <v>0</v>
      </c>
      <c r="C1109" s="1" t="b">
        <f>ISNUMBER(SEARCH($F$8,Municipios!G1111,1))</f>
        <v>0</v>
      </c>
    </row>
    <row r="1110" spans="1:3" x14ac:dyDescent="0.25">
      <c r="A1110" s="1" t="b">
        <f>ISNUMBER(SEARCH(Popayan_Cali!$F$7,Municipios!G1112,1))</f>
        <v>0</v>
      </c>
      <c r="C1110" s="1" t="b">
        <f>ISNUMBER(SEARCH($F$8,Municipios!G1112,1))</f>
        <v>0</v>
      </c>
    </row>
    <row r="1111" spans="1:3" x14ac:dyDescent="0.25">
      <c r="A1111" s="1" t="b">
        <f>ISNUMBER(SEARCH(Popayan_Cali!$F$7,Municipios!G1113,1))</f>
        <v>0</v>
      </c>
      <c r="C1111" s="1" t="b">
        <f>ISNUMBER(SEARCH($F$8,Municipios!G1113,1))</f>
        <v>0</v>
      </c>
    </row>
    <row r="1112" spans="1:3" x14ac:dyDescent="0.25">
      <c r="A1112" s="1" t="b">
        <f>ISNUMBER(SEARCH(Popayan_Cali!$F$7,Municipios!G1114,1))</f>
        <v>0</v>
      </c>
      <c r="C1112" s="1" t="b">
        <f>ISNUMBER(SEARCH($F$8,Municipios!G1114,1))</f>
        <v>0</v>
      </c>
    </row>
    <row r="1113" spans="1:3" x14ac:dyDescent="0.25">
      <c r="A1113" s="1" t="b">
        <f>ISNUMBER(SEARCH(Popayan_Cali!$F$7,Municipios!G1115,1))</f>
        <v>0</v>
      </c>
      <c r="C1113" s="1" t="b">
        <f>ISNUMBER(SEARCH($F$8,Municipios!G1115,1))</f>
        <v>0</v>
      </c>
    </row>
    <row r="1114" spans="1:3" x14ac:dyDescent="0.25">
      <c r="A1114" s="1" t="b">
        <f>ISNUMBER(SEARCH(Popayan_Cali!$F$7,Municipios!G1116,1))</f>
        <v>0</v>
      </c>
      <c r="C1114" s="1" t="b">
        <f>ISNUMBER(SEARCH($F$8,Municipios!G1116,1))</f>
        <v>0</v>
      </c>
    </row>
    <row r="1115" spans="1:3" x14ac:dyDescent="0.25">
      <c r="A1115" s="1" t="b">
        <f>ISNUMBER(SEARCH(Popayan_Cali!$F$7,Municipios!G1117,1))</f>
        <v>0</v>
      </c>
      <c r="C1115" s="1" t="b">
        <f>ISNUMBER(SEARCH($F$8,Municipios!G1117,1))</f>
        <v>0</v>
      </c>
    </row>
    <row r="1116" spans="1:3" x14ac:dyDescent="0.25">
      <c r="A1116" s="1" t="b">
        <f>ISNUMBER(SEARCH(Popayan_Cali!$F$7,Municipios!G1118,1))</f>
        <v>0</v>
      </c>
      <c r="C1116" s="1" t="b">
        <f>ISNUMBER(SEARCH($F$8,Municipios!G1118,1))</f>
        <v>0</v>
      </c>
    </row>
    <row r="1117" spans="1:3" x14ac:dyDescent="0.25">
      <c r="A1117" s="1" t="b">
        <f>ISNUMBER(SEARCH(Popayan_Cali!$F$7,Municipios!G1119,1))</f>
        <v>0</v>
      </c>
      <c r="C1117" s="1" t="b">
        <f>ISNUMBER(SEARCH($F$8,Municipios!G1119,1))</f>
        <v>0</v>
      </c>
    </row>
    <row r="1118" spans="1:3" x14ac:dyDescent="0.25">
      <c r="A1118" s="1" t="b">
        <f>ISNUMBER(SEARCH(Popayan_Cali!$F$7,Municipios!G1120,1))</f>
        <v>0</v>
      </c>
      <c r="C1118" s="1" t="b">
        <f>ISNUMBER(SEARCH($F$8,Municipios!G1120,1))</f>
        <v>0</v>
      </c>
    </row>
    <row r="1119" spans="1:3" x14ac:dyDescent="0.25">
      <c r="A1119" s="1" t="b">
        <f>ISNUMBER(SEARCH(Popayan_Cali!$F$7,Municipios!G1121,1))</f>
        <v>0</v>
      </c>
      <c r="C1119" s="1" t="b">
        <f>ISNUMBER(SEARCH($F$8,Municipios!G1121,1))</f>
        <v>0</v>
      </c>
    </row>
    <row r="1120" spans="1:3" x14ac:dyDescent="0.25">
      <c r="A1120" s="1" t="b">
        <f>ISNUMBER(SEARCH(Popayan_Cali!$F$7,Municipios!G1122,1))</f>
        <v>0</v>
      </c>
      <c r="C1120" s="1" t="b">
        <f>ISNUMBER(SEARCH($F$8,Municipios!G1122,1))</f>
        <v>0</v>
      </c>
    </row>
    <row r="1121" spans="1:3" x14ac:dyDescent="0.25">
      <c r="A1121" s="1" t="b">
        <f>ISNUMBER(SEARCH(Popayan_Cali!$F$7,Municipios!G1123,1))</f>
        <v>0</v>
      </c>
      <c r="C1121" s="1" t="b">
        <f>ISNUMBER(SEARCH($F$8,Municipios!G1123,1))</f>
        <v>0</v>
      </c>
    </row>
    <row r="1122" spans="1:3" x14ac:dyDescent="0.25">
      <c r="A1122" s="1" t="b">
        <f>ISNUMBER(SEARCH(Popayan_Cali!$F$7,Municipios!G1124,1))</f>
        <v>0</v>
      </c>
      <c r="C1122" s="1" t="b">
        <f>ISNUMBER(SEARCH($F$8,Municipios!G1124,1))</f>
        <v>0</v>
      </c>
    </row>
  </sheetData>
  <mergeCells count="5">
    <mergeCell ref="E1:E5"/>
    <mergeCell ref="F1:F5"/>
    <mergeCell ref="G1:H1"/>
    <mergeCell ref="G3:G5"/>
    <mergeCell ref="H3:H5"/>
  </mergeCells>
  <dataValidations count="3">
    <dataValidation type="list" allowBlank="1" showInputMessage="1" promptTitle="Autocompleta" sqref="F7" xr:uid="{F9111EAF-9B4B-4E0C-9221-A950D7118E22}">
      <formula1>_xlfn.ANCHORARRAY($B$2)</formula1>
    </dataValidation>
    <dataValidation type="list" allowBlank="1" showInputMessage="1" sqref="F8" xr:uid="{243CFF68-65C7-45D3-AEF8-3883A8956AD6}">
      <formula1>_xlfn.ANCHORARRAY($D$2)</formula1>
    </dataValidation>
    <dataValidation type="date" allowBlank="1" showInputMessage="1" showErrorMessage="1" errorTitle="Feha incorrecta" error="La fecha debe estar dentro del periodo de fecha inicio y fecha fin. Y debe cumplir el formato de dd-mm-aaaa." sqref="E14:E1048576" xr:uid="{30ED03E8-DA2D-407C-A2E3-2A715F1A1204}">
      <formula1>$F$9</formula1>
      <formula2>$F$10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Municipios</vt:lpstr>
      <vt:lpstr>Popayan_Cali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AndresTBBC</dc:creator>
  <cp:lastModifiedBy>User</cp:lastModifiedBy>
  <dcterms:created xsi:type="dcterms:W3CDTF">2023-09-11T21:39:27Z</dcterms:created>
  <dcterms:modified xsi:type="dcterms:W3CDTF">2023-09-13T21:04:08Z</dcterms:modified>
</cp:coreProperties>
</file>